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andidates" sheetId="2" state="visible" r:id="rId4"/>
    <sheet name="Test_Results" sheetId="3" state="visible" r:id="rId5"/>
  </sheets>
  <definedNames>
    <definedName function="false" hidden="true" localSheetId="1" name="_xlnm._FilterDatabase" vbProcedure="false">Candidates!$A$1:$O$9</definedName>
    <definedName function="false" hidden="true" localSheetId="2" name="_xlnm._FilterDatabase" vbProcedure="false">Test_Results!$A$1:$H$57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<sst xmlns="http://schemas.openxmlformats.org/spreadsheetml/2006/main" count="460" uniqueCount="135">
  <si>
    <t xml:space="preserve">ATS Summary (updates automatically from the Candidates sheet)</t>
  </si>
  <si>
    <t xml:space="preserve">Job</t>
  </si>
  <si>
    <t xml:space="preserve">Total</t>
  </si>
  <si>
    <t xml:space="preserve">Selected</t>
  </si>
  <si>
    <t xml:space="preserve">Hold</t>
  </si>
  <si>
    <t xml:space="preserve">Rejected</t>
  </si>
  <si>
    <t xml:space="preserve">Manual Review</t>
  </si>
  <si>
    <t xml:space="preserve">Average Score</t>
  </si>
  <si>
    <t xml:space="preserve">Selection Rate</t>
  </si>
  <si>
    <t xml:space="preserve">Junior Data Analyst</t>
  </si>
  <si>
    <t xml:space="preserve">Sales Executive</t>
  </si>
  <si>
    <t xml:space="preserve">HR Intern (Talent Acquisition)</t>
  </si>
  <si>
    <t xml:space="preserve">Candidate ID</t>
  </si>
  <si>
    <t xml:space="preserve">Processed On</t>
  </si>
  <si>
    <t xml:space="preserve">Resume File</t>
  </si>
  <si>
    <t xml:space="preserve">Name</t>
  </si>
  <si>
    <t xml:space="preserve">Email</t>
  </si>
  <si>
    <t xml:space="preserve">Phone</t>
  </si>
  <si>
    <t xml:space="preserve">Education</t>
  </si>
  <si>
    <t xml:space="preserve">Experience (yrs)</t>
  </si>
  <si>
    <t xml:space="preserve">Must-have Skills Matched</t>
  </si>
  <si>
    <t xml:space="preserve">Must-have Skills Missing</t>
  </si>
  <si>
    <t xml:space="preserve">Nice-to-have Skills Matched</t>
  </si>
  <si>
    <t xml:space="preserve">Score (/100)</t>
  </si>
  <si>
    <t xml:space="preserve">Decision</t>
  </si>
  <si>
    <t xml:space="preserve">Reasons / Notes</t>
  </si>
  <si>
    <t xml:space="preserve">ATS-0001</t>
  </si>
  <si>
    <t xml:space="preserve">2026-10-13 14:13</t>
  </si>
  <si>
    <t xml:space="preserve">amit_shah.docx</t>
  </si>
  <si>
    <t xml:space="preserve">Amit Shah</t>
  </si>
  <si>
    <t xml:space="preserve">bachelor</t>
  </si>
  <si>
    <t xml:space="preserve">excel, sql, data visualization</t>
  </si>
  <si>
    <t xml:space="preserve">power bi, statistics</t>
  </si>
  <si>
    <t xml:space="preserve">REJECTED</t>
  </si>
  <si>
    <t xml:space="preserve">FAILED Contact details (Email: no; Phone: no)</t>
  </si>
  <si>
    <t xml:space="preserve">ATS-0002</t>
  </si>
  <si>
    <t xml:space="preserve">karan_mehta.txt</t>
  </si>
  <si>
    <t xml:space="preserve">Karan Mehta</t>
  </si>
  <si>
    <t xml:space="preserve">karan.mehta@example.com</t>
  </si>
  <si>
    <t xml:space="preserve">9900044444</t>
  </si>
  <si>
    <t xml:space="preserve">master</t>
  </si>
  <si>
    <t xml:space="preserve">power bi, tableau, python, statistics, google sheets</t>
  </si>
  <si>
    <t xml:space="preserve">HOLD</t>
  </si>
  <si>
    <t xml:space="preserve">Score 93.6, but experience is above the role's maximum (possibly over-qualified). Recruiter to confirm interest in this level, or consider a senior role.</t>
  </si>
  <si>
    <t xml:space="preserve">ATS-0003</t>
  </si>
  <si>
    <t xml:space="preserve">neha_joshi.pdf</t>
  </si>
  <si>
    <t xml:space="preserve">Neha Joshi</t>
  </si>
  <si>
    <t xml:space="preserve">neha.joshi@example.com</t>
  </si>
  <si>
    <t xml:space="preserve">9870055555</t>
  </si>
  <si>
    <t xml:space="preserve">diploma</t>
  </si>
  <si>
    <t xml:space="preserve">FAILED Minimum education (Found: diploma; required: bachelor)</t>
  </si>
  <si>
    <t xml:space="preserve">ATS-0004</t>
  </si>
  <si>
    <t xml:space="preserve">priya_nair.docx</t>
  </si>
  <si>
    <t xml:space="preserve">Priya Nair</t>
  </si>
  <si>
    <t xml:space="preserve">priya.nair@example.com</t>
  </si>
  <si>
    <t xml:space="preserve">9820011111</t>
  </si>
  <si>
    <t xml:space="preserve">SELECTED</t>
  </si>
  <si>
    <t xml:space="preserve">Passed all knockout tests; score 94.7. Weakest: Role relevance (5.0/10), Resume quality (9.7/10)</t>
  </si>
  <si>
    <t xml:space="preserve">ATS-0005</t>
  </si>
  <si>
    <t xml:space="preserve">rahul_verma.pdf</t>
  </si>
  <si>
    <t xml:space="preserve">Rahul Verma</t>
  </si>
  <si>
    <t xml:space="preserve">rahul.verma@example.com</t>
  </si>
  <si>
    <t xml:space="preserve">9700022222</t>
  </si>
  <si>
    <t xml:space="preserve">power bi</t>
  </si>
  <si>
    <t xml:space="preserve">Passed all knockout tests; score 90.8. Weakest: Nice-to-have skills (2.0/10), Resume quality (8.8/10)</t>
  </si>
  <si>
    <t xml:space="preserve">ATS-0006</t>
  </si>
  <si>
    <t xml:space="preserve">scanned_resume.pdf</t>
  </si>
  <si>
    <t xml:space="preserve">scanned_resume</t>
  </si>
  <si>
    <t xml:space="preserve">MANUAL REVIEW</t>
  </si>
  <si>
    <t xml:space="preserve">Could not read text (scanned image, empty or protected file). Review manually.</t>
  </si>
  <si>
    <t xml:space="preserve">ATS-0007</t>
  </si>
  <si>
    <t xml:space="preserve">sneha_kulkarni.txt</t>
  </si>
  <si>
    <t xml:space="preserve">Sneha Kulkarni</t>
  </si>
  <si>
    <t xml:space="preserve">sneha.k@example.com</t>
  </si>
  <si>
    <t xml:space="preserve">9811133333</t>
  </si>
  <si>
    <t xml:space="preserve">excel</t>
  </si>
  <si>
    <t xml:space="preserve">sql, data visualization</t>
  </si>
  <si>
    <t xml:space="preserve">FAILED Must-have skills (Matched 1/3 (needs 60%). Missing: sql, data visualization)</t>
  </si>
  <si>
    <t xml:space="preserve">ATS-0008</t>
  </si>
  <si>
    <t xml:space="preserve">vikram_rao.docx</t>
  </si>
  <si>
    <t xml:space="preserve">Vikram Rao</t>
  </si>
  <si>
    <t xml:space="preserve">vikram.rao@example.com</t>
  </si>
  <si>
    <t xml:space="preserve">9810066666</t>
  </si>
  <si>
    <t xml:space="preserve">excel, sql</t>
  </si>
  <si>
    <t xml:space="preserve">data visualization</t>
  </si>
  <si>
    <t xml:space="preserve">Passed knockouts but score 65.9 is below 70. Weakest: Must-have skills (23.3/35), Nice-to-have skills (0.0/10)</t>
  </si>
  <si>
    <t xml:space="preserve">Test</t>
  </si>
  <si>
    <t xml:space="preserve">Result</t>
  </si>
  <si>
    <t xml:space="preserve">Score</t>
  </si>
  <si>
    <t xml:space="preserve">Max</t>
  </si>
  <si>
    <t xml:space="preserve">Knockout test?</t>
  </si>
  <si>
    <t xml:space="preserve">Detail</t>
  </si>
  <si>
    <t xml:space="preserve">Contact details</t>
  </si>
  <si>
    <t xml:space="preserve">FAIL</t>
  </si>
  <si>
    <t xml:space="preserve">Yes</t>
  </si>
  <si>
    <t xml:space="preserve">Email: no; Phone: no</t>
  </si>
  <si>
    <t xml:space="preserve">Minimum education</t>
  </si>
  <si>
    <t xml:space="preserve">PASS</t>
  </si>
  <si>
    <t xml:space="preserve">Found: bachelor; required: bachelor</t>
  </si>
  <si>
    <t xml:space="preserve">Experience range</t>
  </si>
  <si>
    <t xml:space="preserve">No</t>
  </si>
  <si>
    <t xml:space="preserve">1.0 yrs (stated in resume); within 0-2 yrs</t>
  </si>
  <si>
    <t xml:space="preserve">Must-have skills</t>
  </si>
  <si>
    <t xml:space="preserve">Matched 3/3 (needs 60%). Missing: none</t>
  </si>
  <si>
    <t xml:space="preserve">Nice-to-have skills</t>
  </si>
  <si>
    <t xml:space="preserve">Matched 2/5: power bi, statistics</t>
  </si>
  <si>
    <t xml:space="preserve">Role relevance</t>
  </si>
  <si>
    <t xml:space="preserve">Keywords found: data analyst, analytics</t>
  </si>
  <si>
    <t xml:space="preserve">Resume quality</t>
  </si>
  <si>
    <t xml:space="preserve">75 words; core sections found: 3/3</t>
  </si>
  <si>
    <t xml:space="preserve">Location</t>
  </si>
  <si>
    <t xml:space="preserve">No location requirement</t>
  </si>
  <si>
    <t xml:space="preserve">Email: yes; Phone: yes</t>
  </si>
  <si>
    <t xml:space="preserve">Found: master; required: bachelor</t>
  </si>
  <si>
    <t xml:space="preserve">11.4 yrs (calculated from dates); above maximum of 2 yrs (possibly over-qualified)</t>
  </si>
  <si>
    <t xml:space="preserve">Matched 5/5: power bi, tableau, python, statistics, google sheets</t>
  </si>
  <si>
    <t xml:space="preserve">94 words; core sections found: 3/3</t>
  </si>
  <si>
    <t xml:space="preserve">Found: diploma; required: bachelor</t>
  </si>
  <si>
    <t xml:space="preserve">0.6 yrs (calculated from dates); within 0-2 yrs</t>
  </si>
  <si>
    <t xml:space="preserve">Matched 0/5: none</t>
  </si>
  <si>
    <t xml:space="preserve">Keywords found: data analysis</t>
  </si>
  <si>
    <t xml:space="preserve">72 words; core sections found: 3/3</t>
  </si>
  <si>
    <t xml:space="preserve">2.0 yrs (stated in resume); within 0-2 yrs</t>
  </si>
  <si>
    <t xml:space="preserve">Keywords found: data analyst</t>
  </si>
  <si>
    <t xml:space="preserve">142 words; core sections found: 3/3</t>
  </si>
  <si>
    <t xml:space="preserve">0.2 yrs (calculated from dates); within 0-2 yrs</t>
  </si>
  <si>
    <t xml:space="preserve">Matched 1/5: power bi</t>
  </si>
  <si>
    <t xml:space="preserve">Keywords found: data analyst, mis</t>
  </si>
  <si>
    <t xml:space="preserve">113 words; core sections found: 3/3</t>
  </si>
  <si>
    <t xml:space="preserve">0.5 yrs (calculated from dates); within 0-2 yrs</t>
  </si>
  <si>
    <t xml:space="preserve">Matched 1/3 (needs 60%). Missing: sql, data visualization</t>
  </si>
  <si>
    <t xml:space="preserve">Keywords found: none</t>
  </si>
  <si>
    <t xml:space="preserve">54 words; core sections found: 3/3</t>
  </si>
  <si>
    <t xml:space="preserve">Matched 2/3 (needs 60%). Missing: data visualization</t>
  </si>
  <si>
    <t xml:space="preserve">79 words; core sections found: 3/3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</si>
</sst>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"/>
    <numFmt numFmtId="167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0061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D9D9D9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8" min="2" style="0" width="14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15" hidden="false" customHeight="false" outlineLevel="0" collapsed="false">
      <c r="A4" s="3" t="s">
        <v>9</v>
      </c>
      <c r="B4" s="4" t="n">
        <f aca="false">COUNTIFS(Candidates!$C:$C,$A4)</f>
        <v>8</v>
      </c>
      <c r="C4" s="4" t="n">
        <f aca="false">COUNTIFS(Candidates!$C:$C,$A4,Candidates!$N:$N,"SELECTED")</f>
        <v>2</v>
      </c>
      <c r="D4" s="4" t="n">
        <f aca="false">COUNTIFS(Candidates!$C:$C,$A4,Candidates!$N:$N,"HOLD")</f>
        <v>2</v>
      </c>
      <c r="E4" s="4" t="n">
        <f aca="false">COUNTIFS(Candidates!$C:$C,$A4,Candidates!$N:$N,"REJECTED")</f>
        <v>3</v>
      </c>
      <c r="F4" s="4" t="n">
        <f aca="false">COUNTIFS(Candidates!$C:$C,$A4,Candidates!$N:$N,"MANUAL REVIEW")</f>
        <v>1</v>
      </c>
      <c r="G4" s="5" t="n">
        <f aca="false">IFERROR(AVERAGEIFS(Candidates!$M:$M,Candidates!$C:$C,$A4),0)</f>
        <v>69.675</v>
      </c>
      <c r="H4" s="6" t="n">
        <f aca="false">IF(B4=0,0,C4/B4)</f>
        <v>0.25</v>
      </c>
    </row>
    <row r="5" customFormat="false" ht="15" hidden="false" customHeight="false" outlineLevel="0" collapsed="false">
      <c r="A5" s="3" t="s">
        <v>10</v>
      </c>
      <c r="B5" s="4" t="n">
        <f aca="false">COUNTIFS(Candidates!$C:$C,$A5)</f>
        <v>0</v>
      </c>
      <c r="C5" s="4" t="n">
        <f aca="false">COUNTIFS(Candidates!$C:$C,$A5,Candidates!$N:$N,"SELECTED")</f>
        <v>0</v>
      </c>
      <c r="D5" s="4" t="n">
        <f aca="false">COUNTIFS(Candidates!$C:$C,$A5,Candidates!$N:$N,"HOLD")</f>
        <v>0</v>
      </c>
      <c r="E5" s="4" t="n">
        <f aca="false">COUNTIFS(Candidates!$C:$C,$A5,Candidates!$N:$N,"REJECTED")</f>
        <v>0</v>
      </c>
      <c r="F5" s="4" t="n">
        <f aca="false">COUNTIFS(Candidates!$C:$C,$A5,Candidates!$N:$N,"MANUAL REVIEW")</f>
        <v>0</v>
      </c>
      <c r="G5" s="5" t="n">
        <f aca="false">IFERROR(AVERAGEIFS(Candidates!$M:$M,Candidates!$C:$C,$A5),0)</f>
        <v>0</v>
      </c>
      <c r="H5" s="6" t="n">
        <f aca="false">IF(B5=0,0,C5/B5)</f>
        <v>0</v>
      </c>
    </row>
    <row r="6" customFormat="false" ht="15" hidden="false" customHeight="false" outlineLevel="0" collapsed="false">
      <c r="A6" s="3" t="s">
        <v>11</v>
      </c>
      <c r="B6" s="4" t="n">
        <f aca="false">COUNTIFS(Candidates!$C:$C,$A6)</f>
        <v>0</v>
      </c>
      <c r="C6" s="4" t="n">
        <f aca="false">COUNTIFS(Candidates!$C:$C,$A6,Candidates!$N:$N,"SELECTED")</f>
        <v>0</v>
      </c>
      <c r="D6" s="4" t="n">
        <f aca="false">COUNTIFS(Candidates!$C:$C,$A6,Candidates!$N:$N,"HOLD")</f>
        <v>0</v>
      </c>
      <c r="E6" s="4" t="n">
        <f aca="false">COUNTIFS(Candidates!$C:$C,$A6,Candidates!$N:$N,"REJECTED")</f>
        <v>0</v>
      </c>
      <c r="F6" s="4" t="n">
        <f aca="false">COUNTIFS(Candidates!$C:$C,$A6,Candidates!$N:$N,"MANUAL REVIEW")</f>
        <v>0</v>
      </c>
      <c r="G6" s="5" t="n">
        <f aca="false">IFERROR(AVERAGEIFS(Candidates!$M:$M,Candidates!$C:$C,$A6),0)</f>
        <v>0</v>
      </c>
      <c r="H6" s="6" t="n">
        <f aca="false">IF(B6=0,0,C6/B6)</f>
        <v>0</v>
      </c>
    </row>
    <row r="7" customFormat="false" ht="15" hidden="false" customHeight="false" outlineLevel="0" collapsed="false">
      <c r="A7" s="7" t="s">
        <v>2</v>
      </c>
      <c r="B7" s="8" t="n">
        <f aca="false">SUM(B4:B6)</f>
        <v>8</v>
      </c>
      <c r="C7" s="8" t="n">
        <f aca="false">SUM(C4:C6)</f>
        <v>2</v>
      </c>
      <c r="D7" s="8" t="n">
        <f aca="false">SUM(D4:D6)</f>
        <v>2</v>
      </c>
      <c r="E7" s="8" t="n">
        <f aca="false">SUM(E4:E6)</f>
        <v>3</v>
      </c>
      <c r="F7" s="8" t="n">
        <f aca="false">SUM(F4:F6)</f>
        <v>1</v>
      </c>
      <c r="G7" s="9" t="n">
        <f aca="false">IFERROR(AVERAGE(Candidates!$M$2:$M$5000),0)</f>
        <v>69.675</v>
      </c>
      <c r="H7" s="10" t="n">
        <f aca="false">IF(B7=0,0,C7/B7)</f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7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28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2" min="10" style="0" width="28"/>
    <col collapsed="false" customWidth="true" hidden="false" outlineLevel="0" max="13" min="13" style="0" width="10"/>
    <col collapsed="false" customWidth="true" hidden="false" outlineLevel="0" max="14" min="14" style="0" width="15"/>
    <col collapsed="false" customWidth="true" hidden="false" outlineLevel="0" max="15" min="15" style="0" width="70"/>
  </cols>
  <sheetData>
    <row r="1" customFormat="false" ht="31.5" hidden="false" customHeight="true" outlineLevel="0" collapsed="false">
      <c r="A1" s="2" t="s">
        <v>12</v>
      </c>
      <c r="B1" s="2" t="s">
        <v>13</v>
      </c>
      <c r="C1" s="2" t="s">
        <v>1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</row>
    <row r="2" customFormat="false" ht="15" hidden="false" customHeight="false" outlineLevel="0" collapsed="false">
      <c r="A2" s="11" t="s">
        <v>26</v>
      </c>
      <c r="B2" s="12" t="s">
        <v>27</v>
      </c>
      <c r="C2" s="12" t="s">
        <v>9</v>
      </c>
      <c r="D2" s="12" t="s">
        <v>28</v>
      </c>
      <c r="E2" s="12" t="s">
        <v>29</v>
      </c>
      <c r="F2" s="12"/>
      <c r="G2" s="12"/>
      <c r="H2" s="12" t="s">
        <v>30</v>
      </c>
      <c r="I2" s="11" t="n">
        <v>1</v>
      </c>
      <c r="J2" s="13" t="s">
        <v>31</v>
      </c>
      <c r="K2" s="13"/>
      <c r="L2" s="13" t="s">
        <v>32</v>
      </c>
      <c r="M2" s="11" t="n">
        <v>86.5</v>
      </c>
      <c r="N2" s="11" t="s">
        <v>33</v>
      </c>
      <c r="O2" s="13" t="s">
        <v>34</v>
      </c>
    </row>
    <row r="3" customFormat="false" ht="23.85" hidden="false" customHeight="false" outlineLevel="0" collapsed="false">
      <c r="A3" s="11" t="s">
        <v>35</v>
      </c>
      <c r="B3" s="12" t="s">
        <v>27</v>
      </c>
      <c r="C3" s="12" t="s">
        <v>9</v>
      </c>
      <c r="D3" s="12" t="s">
        <v>36</v>
      </c>
      <c r="E3" s="12" t="s">
        <v>37</v>
      </c>
      <c r="F3" s="12" t="s">
        <v>38</v>
      </c>
      <c r="G3" s="12" t="s">
        <v>39</v>
      </c>
      <c r="H3" s="12" t="s">
        <v>40</v>
      </c>
      <c r="I3" s="11" t="n">
        <v>11.4</v>
      </c>
      <c r="J3" s="13" t="s">
        <v>31</v>
      </c>
      <c r="K3" s="13"/>
      <c r="L3" s="13" t="s">
        <v>41</v>
      </c>
      <c r="M3" s="11" t="n">
        <v>93.6</v>
      </c>
      <c r="N3" s="11" t="s">
        <v>42</v>
      </c>
      <c r="O3" s="13" t="s">
        <v>43</v>
      </c>
    </row>
    <row r="4" customFormat="false" ht="15" hidden="false" customHeight="false" outlineLevel="0" collapsed="false">
      <c r="A4" s="11" t="s">
        <v>44</v>
      </c>
      <c r="B4" s="12" t="s">
        <v>27</v>
      </c>
      <c r="C4" s="12" t="s">
        <v>9</v>
      </c>
      <c r="D4" s="12" t="s">
        <v>45</v>
      </c>
      <c r="E4" s="12" t="s">
        <v>46</v>
      </c>
      <c r="F4" s="12" t="s">
        <v>47</v>
      </c>
      <c r="G4" s="12" t="s">
        <v>48</v>
      </c>
      <c r="H4" s="12" t="s">
        <v>49</v>
      </c>
      <c r="I4" s="11" t="n">
        <v>0.6</v>
      </c>
      <c r="J4" s="13" t="s">
        <v>31</v>
      </c>
      <c r="K4" s="13"/>
      <c r="L4" s="13"/>
      <c r="M4" s="11" t="n">
        <v>72.4</v>
      </c>
      <c r="N4" s="11" t="s">
        <v>33</v>
      </c>
      <c r="O4" s="13" t="s">
        <v>50</v>
      </c>
    </row>
    <row r="5" customFormat="false" ht="23.85" hidden="false" customHeight="false" outlineLevel="0" collapsed="false">
      <c r="A5" s="11" t="s">
        <v>51</v>
      </c>
      <c r="B5" s="12" t="s">
        <v>27</v>
      </c>
      <c r="C5" s="12" t="s">
        <v>9</v>
      </c>
      <c r="D5" s="12" t="s">
        <v>52</v>
      </c>
      <c r="E5" s="12" t="s">
        <v>53</v>
      </c>
      <c r="F5" s="12" t="s">
        <v>54</v>
      </c>
      <c r="G5" s="12" t="s">
        <v>55</v>
      </c>
      <c r="H5" s="12" t="s">
        <v>30</v>
      </c>
      <c r="I5" s="11" t="n">
        <v>2</v>
      </c>
      <c r="J5" s="13" t="s">
        <v>31</v>
      </c>
      <c r="K5" s="13"/>
      <c r="L5" s="13" t="s">
        <v>41</v>
      </c>
      <c r="M5" s="11" t="n">
        <v>94.7</v>
      </c>
      <c r="N5" s="11" t="s">
        <v>56</v>
      </c>
      <c r="O5" s="13" t="s">
        <v>57</v>
      </c>
    </row>
    <row r="6" customFormat="false" ht="23.85" hidden="false" customHeight="false" outlineLevel="0" collapsed="false">
      <c r="A6" s="11" t="s">
        <v>58</v>
      </c>
      <c r="B6" s="12" t="s">
        <v>27</v>
      </c>
      <c r="C6" s="12" t="s">
        <v>9</v>
      </c>
      <c r="D6" s="12" t="s">
        <v>59</v>
      </c>
      <c r="E6" s="12" t="s">
        <v>60</v>
      </c>
      <c r="F6" s="12" t="s">
        <v>61</v>
      </c>
      <c r="G6" s="12" t="s">
        <v>62</v>
      </c>
      <c r="H6" s="12" t="s">
        <v>30</v>
      </c>
      <c r="I6" s="11" t="n">
        <v>0.2</v>
      </c>
      <c r="J6" s="13" t="s">
        <v>31</v>
      </c>
      <c r="K6" s="13"/>
      <c r="L6" s="13" t="s">
        <v>63</v>
      </c>
      <c r="M6" s="11" t="n">
        <v>90.8</v>
      </c>
      <c r="N6" s="11" t="s">
        <v>56</v>
      </c>
      <c r="O6" s="13" t="s">
        <v>64</v>
      </c>
    </row>
    <row r="7" customFormat="false" ht="15" hidden="false" customHeight="false" outlineLevel="0" collapsed="false">
      <c r="A7" s="11" t="s">
        <v>65</v>
      </c>
      <c r="B7" s="12" t="s">
        <v>27</v>
      </c>
      <c r="C7" s="12" t="s">
        <v>9</v>
      </c>
      <c r="D7" s="12" t="s">
        <v>66</v>
      </c>
      <c r="E7" s="12" t="s">
        <v>67</v>
      </c>
      <c r="F7" s="12"/>
      <c r="G7" s="12"/>
      <c r="H7" s="12"/>
      <c r="I7" s="11" t="n">
        <v>0</v>
      </c>
      <c r="J7" s="13"/>
      <c r="K7" s="13"/>
      <c r="L7" s="13"/>
      <c r="M7" s="11" t="n">
        <v>0</v>
      </c>
      <c r="N7" s="11" t="s">
        <v>68</v>
      </c>
      <c r="O7" s="13" t="s">
        <v>69</v>
      </c>
    </row>
    <row r="8" customFormat="false" ht="15" hidden="false" customHeight="false" outlineLevel="0" collapsed="false">
      <c r="A8" s="11" t="s">
        <v>70</v>
      </c>
      <c r="B8" s="12" t="s">
        <v>27</v>
      </c>
      <c r="C8" s="12" t="s">
        <v>9</v>
      </c>
      <c r="D8" s="12" t="s">
        <v>71</v>
      </c>
      <c r="E8" s="12" t="s">
        <v>72</v>
      </c>
      <c r="F8" s="12" t="s">
        <v>73</v>
      </c>
      <c r="G8" s="12" t="s">
        <v>74</v>
      </c>
      <c r="H8" s="12" t="s">
        <v>30</v>
      </c>
      <c r="I8" s="11" t="n">
        <v>0.5</v>
      </c>
      <c r="J8" s="13" t="s">
        <v>75</v>
      </c>
      <c r="K8" s="13" t="s">
        <v>76</v>
      </c>
      <c r="L8" s="13"/>
      <c r="M8" s="11" t="n">
        <v>53.5</v>
      </c>
      <c r="N8" s="11" t="s">
        <v>33</v>
      </c>
      <c r="O8" s="13" t="s">
        <v>77</v>
      </c>
    </row>
    <row r="9" customFormat="false" ht="23.85" hidden="false" customHeight="false" outlineLevel="0" collapsed="false">
      <c r="A9" s="11" t="s">
        <v>78</v>
      </c>
      <c r="B9" s="12" t="s">
        <v>27</v>
      </c>
      <c r="C9" s="12" t="s">
        <v>9</v>
      </c>
      <c r="D9" s="12" t="s">
        <v>79</v>
      </c>
      <c r="E9" s="12" t="s">
        <v>80</v>
      </c>
      <c r="F9" s="12" t="s">
        <v>81</v>
      </c>
      <c r="G9" s="12" t="s">
        <v>82</v>
      </c>
      <c r="H9" s="12" t="s">
        <v>30</v>
      </c>
      <c r="I9" s="11" t="n">
        <v>1</v>
      </c>
      <c r="J9" s="13" t="s">
        <v>83</v>
      </c>
      <c r="K9" s="13" t="s">
        <v>84</v>
      </c>
      <c r="L9" s="13"/>
      <c r="M9" s="11" t="n">
        <v>65.9</v>
      </c>
      <c r="N9" s="11" t="s">
        <v>42</v>
      </c>
      <c r="O9" s="13" t="s">
        <v>85</v>
      </c>
    </row>
  </sheetData>
  <autoFilter ref="A1:O9"/>
  <conditionalFormatting sqref="N2:N5000">
    <cfRule type="expression" priority="2" aboveAverage="0" equalAverage="0" bottom="0" percent="0" rank="0" text="" dxfId="7">
      <formula>$N2="SELECTED"</formula>
    </cfRule>
    <cfRule type="expression" priority="3" aboveAverage="0" equalAverage="0" bottom="0" percent="0" rank="0" text="" dxfId="8">
      <formula>$N2="HOLD"</formula>
    </cfRule>
    <cfRule type="expression" priority="4" aboveAverage="0" equalAverage="0" bottom="0" percent="0" rank="0" text="" dxfId="9">
      <formula>$N2="REJECTED"</formula>
    </cfRule>
    <cfRule type="expression" priority="5" aboveAverage="0" equalAverage="0" bottom="0" percent="0" rank="0" text="" dxfId="10">
      <formula>$N2="MANUAL REVIEW"</formula>
    </cfRule>
  </conditionalFormatting>
  <dataValidations count="1">
    <dataValidation allowBlank="true" errorStyle="stop" operator="between" showDropDown="false" showErrorMessage="false" showInputMessage="false" sqref="N2:N1009" type="list">
      <formula1>"SELECTED,HOLD,REJECTED,MANUAL REVIEW"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22"/>
    <col collapsed="false" customWidth="true" hidden="false" outlineLevel="0" max="4" min="4" style="0" width="9"/>
    <col collapsed="false" customWidth="true" hidden="false" outlineLevel="0" max="6" min="5" style="0" width="8"/>
    <col collapsed="false" customWidth="true" hidden="false" outlineLevel="0" max="7" min="7" style="0" width="14"/>
    <col collapsed="false" customWidth="true" hidden="false" outlineLevel="0" max="8" min="8" style="0" width="80"/>
  </cols>
  <sheetData>
    <row r="1" customFormat="false" ht="31.5" hidden="false" customHeight="true" outlineLevel="0" collapsed="false">
      <c r="A1" s="2" t="s">
        <v>12</v>
      </c>
      <c r="B1" s="2" t="s">
        <v>15</v>
      </c>
      <c r="C1" s="2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2" t="s">
        <v>91</v>
      </c>
    </row>
    <row r="2" customFormat="false" ht="15" hidden="false" customHeight="false" outlineLevel="0" collapsed="false">
      <c r="A2" s="3" t="s">
        <v>26</v>
      </c>
      <c r="B2" s="3" t="s">
        <v>29</v>
      </c>
      <c r="C2" s="3" t="s">
        <v>92</v>
      </c>
      <c r="D2" s="14" t="s">
        <v>93</v>
      </c>
      <c r="E2" s="3" t="n">
        <v>0</v>
      </c>
      <c r="F2" s="3" t="n">
        <v>5</v>
      </c>
      <c r="G2" s="3" t="s">
        <v>94</v>
      </c>
      <c r="H2" s="3" t="s">
        <v>95</v>
      </c>
    </row>
    <row r="3" customFormat="false" ht="15" hidden="false" customHeight="false" outlineLevel="0" collapsed="false">
      <c r="A3" s="3" t="s">
        <v>26</v>
      </c>
      <c r="B3" s="3" t="s">
        <v>29</v>
      </c>
      <c r="C3" s="3" t="s">
        <v>96</v>
      </c>
      <c r="D3" s="15" t="s">
        <v>97</v>
      </c>
      <c r="E3" s="3" t="n">
        <v>10</v>
      </c>
      <c r="F3" s="3" t="n">
        <v>10</v>
      </c>
      <c r="G3" s="3" t="s">
        <v>94</v>
      </c>
      <c r="H3" s="3" t="s">
        <v>98</v>
      </c>
    </row>
    <row r="4" customFormat="false" ht="15" hidden="false" customHeight="false" outlineLevel="0" collapsed="false">
      <c r="A4" s="3" t="s">
        <v>26</v>
      </c>
      <c r="B4" s="3" t="s">
        <v>29</v>
      </c>
      <c r="C4" s="3" t="s">
        <v>99</v>
      </c>
      <c r="D4" s="15" t="s">
        <v>97</v>
      </c>
      <c r="E4" s="3" t="n">
        <v>15</v>
      </c>
      <c r="F4" s="3" t="n">
        <v>15</v>
      </c>
      <c r="G4" s="3" t="s">
        <v>100</v>
      </c>
      <c r="H4" s="3" t="s">
        <v>101</v>
      </c>
    </row>
    <row r="5" customFormat="false" ht="15" hidden="false" customHeight="false" outlineLevel="0" collapsed="false">
      <c r="A5" s="3" t="s">
        <v>26</v>
      </c>
      <c r="B5" s="3" t="s">
        <v>29</v>
      </c>
      <c r="C5" s="3" t="s">
        <v>102</v>
      </c>
      <c r="D5" s="15" t="s">
        <v>97</v>
      </c>
      <c r="E5" s="3" t="n">
        <v>35</v>
      </c>
      <c r="F5" s="3" t="n">
        <v>35</v>
      </c>
      <c r="G5" s="3" t="s">
        <v>94</v>
      </c>
      <c r="H5" s="3" t="s">
        <v>103</v>
      </c>
    </row>
    <row r="6" customFormat="false" ht="15" hidden="false" customHeight="false" outlineLevel="0" collapsed="false">
      <c r="A6" s="3" t="s">
        <v>26</v>
      </c>
      <c r="B6" s="3" t="s">
        <v>29</v>
      </c>
      <c r="C6" s="3" t="s">
        <v>104</v>
      </c>
      <c r="D6" s="15" t="s">
        <v>97</v>
      </c>
      <c r="E6" s="3" t="n">
        <v>4</v>
      </c>
      <c r="F6" s="3" t="n">
        <v>10</v>
      </c>
      <c r="G6" s="3" t="s">
        <v>100</v>
      </c>
      <c r="H6" s="3" t="s">
        <v>105</v>
      </c>
    </row>
    <row r="7" customFormat="false" ht="15" hidden="false" customHeight="false" outlineLevel="0" collapsed="false">
      <c r="A7" s="3" t="s">
        <v>26</v>
      </c>
      <c r="B7" s="3" t="s">
        <v>29</v>
      </c>
      <c r="C7" s="3" t="s">
        <v>106</v>
      </c>
      <c r="D7" s="15" t="s">
        <v>97</v>
      </c>
      <c r="E7" s="3" t="n">
        <v>10</v>
      </c>
      <c r="F7" s="3" t="n">
        <v>10</v>
      </c>
      <c r="G7" s="3" t="s">
        <v>100</v>
      </c>
      <c r="H7" s="3" t="s">
        <v>107</v>
      </c>
    </row>
    <row r="8" customFormat="false" ht="15" hidden="false" customHeight="false" outlineLevel="0" collapsed="false">
      <c r="A8" s="3" t="s">
        <v>26</v>
      </c>
      <c r="B8" s="3" t="s">
        <v>29</v>
      </c>
      <c r="C8" s="3" t="s">
        <v>108</v>
      </c>
      <c r="D8" s="14" t="s">
        <v>93</v>
      </c>
      <c r="E8" s="3" t="n">
        <v>7.5</v>
      </c>
      <c r="F8" s="3" t="n">
        <v>10</v>
      </c>
      <c r="G8" s="3" t="s">
        <v>100</v>
      </c>
      <c r="H8" s="3" t="s">
        <v>109</v>
      </c>
    </row>
    <row r="9" customFormat="false" ht="15" hidden="false" customHeight="false" outlineLevel="0" collapsed="false">
      <c r="A9" s="3" t="s">
        <v>26</v>
      </c>
      <c r="B9" s="3" t="s">
        <v>29</v>
      </c>
      <c r="C9" s="3" t="s">
        <v>110</v>
      </c>
      <c r="D9" s="15" t="s">
        <v>97</v>
      </c>
      <c r="E9" s="3" t="n">
        <v>5</v>
      </c>
      <c r="F9" s="3" t="n">
        <v>5</v>
      </c>
      <c r="G9" s="3" t="s">
        <v>100</v>
      </c>
      <c r="H9" s="3" t="s">
        <v>111</v>
      </c>
    </row>
    <row r="10" customFormat="false" ht="15" hidden="false" customHeight="false" outlineLevel="0" collapsed="false">
      <c r="A10" s="3" t="s">
        <v>35</v>
      </c>
      <c r="B10" s="3" t="s">
        <v>37</v>
      </c>
      <c r="C10" s="3" t="s">
        <v>92</v>
      </c>
      <c r="D10" s="15" t="s">
        <v>97</v>
      </c>
      <c r="E10" s="3" t="n">
        <v>5</v>
      </c>
      <c r="F10" s="3" t="n">
        <v>5</v>
      </c>
      <c r="G10" s="3" t="s">
        <v>94</v>
      </c>
      <c r="H10" s="3" t="s">
        <v>112</v>
      </c>
    </row>
    <row r="11" customFormat="false" ht="15" hidden="false" customHeight="false" outlineLevel="0" collapsed="false">
      <c r="A11" s="3" t="s">
        <v>35</v>
      </c>
      <c r="B11" s="3" t="s">
        <v>37</v>
      </c>
      <c r="C11" s="3" t="s">
        <v>96</v>
      </c>
      <c r="D11" s="15" t="s">
        <v>97</v>
      </c>
      <c r="E11" s="3" t="n">
        <v>10</v>
      </c>
      <c r="F11" s="3" t="n">
        <v>10</v>
      </c>
      <c r="G11" s="3" t="s">
        <v>94</v>
      </c>
      <c r="H11" s="3" t="s">
        <v>113</v>
      </c>
    </row>
    <row r="12" customFormat="false" ht="15" hidden="false" customHeight="false" outlineLevel="0" collapsed="false">
      <c r="A12" s="3" t="s">
        <v>35</v>
      </c>
      <c r="B12" s="3" t="s">
        <v>37</v>
      </c>
      <c r="C12" s="3" t="s">
        <v>99</v>
      </c>
      <c r="D12" s="15" t="s">
        <v>97</v>
      </c>
      <c r="E12" s="3" t="n">
        <v>10.5</v>
      </c>
      <c r="F12" s="3" t="n">
        <v>15</v>
      </c>
      <c r="G12" s="3" t="s">
        <v>100</v>
      </c>
      <c r="H12" s="3" t="s">
        <v>114</v>
      </c>
    </row>
    <row r="13" customFormat="false" ht="15" hidden="false" customHeight="false" outlineLevel="0" collapsed="false">
      <c r="A13" s="3" t="s">
        <v>35</v>
      </c>
      <c r="B13" s="3" t="s">
        <v>37</v>
      </c>
      <c r="C13" s="3" t="s">
        <v>102</v>
      </c>
      <c r="D13" s="15" t="s">
        <v>97</v>
      </c>
      <c r="E13" s="3" t="n">
        <v>35</v>
      </c>
      <c r="F13" s="3" t="n">
        <v>35</v>
      </c>
      <c r="G13" s="3" t="s">
        <v>94</v>
      </c>
      <c r="H13" s="3" t="s">
        <v>103</v>
      </c>
    </row>
    <row r="14" customFormat="false" ht="15" hidden="false" customHeight="false" outlineLevel="0" collapsed="false">
      <c r="A14" s="3" t="s">
        <v>35</v>
      </c>
      <c r="B14" s="3" t="s">
        <v>37</v>
      </c>
      <c r="C14" s="3" t="s">
        <v>104</v>
      </c>
      <c r="D14" s="15" t="s">
        <v>97</v>
      </c>
      <c r="E14" s="3" t="n">
        <v>10</v>
      </c>
      <c r="F14" s="3" t="n">
        <v>10</v>
      </c>
      <c r="G14" s="3" t="s">
        <v>100</v>
      </c>
      <c r="H14" s="3" t="s">
        <v>115</v>
      </c>
    </row>
    <row r="15" customFormat="false" ht="15" hidden="false" customHeight="false" outlineLevel="0" collapsed="false">
      <c r="A15" s="3" t="s">
        <v>35</v>
      </c>
      <c r="B15" s="3" t="s">
        <v>37</v>
      </c>
      <c r="C15" s="3" t="s">
        <v>106</v>
      </c>
      <c r="D15" s="15" t="s">
        <v>97</v>
      </c>
      <c r="E15" s="3" t="n">
        <v>10</v>
      </c>
      <c r="F15" s="3" t="n">
        <v>10</v>
      </c>
      <c r="G15" s="3" t="s">
        <v>100</v>
      </c>
      <c r="H15" s="3" t="s">
        <v>107</v>
      </c>
    </row>
    <row r="16" customFormat="false" ht="15" hidden="false" customHeight="false" outlineLevel="0" collapsed="false">
      <c r="A16" s="3" t="s">
        <v>35</v>
      </c>
      <c r="B16" s="3" t="s">
        <v>37</v>
      </c>
      <c r="C16" s="3" t="s">
        <v>108</v>
      </c>
      <c r="D16" s="14" t="s">
        <v>93</v>
      </c>
      <c r="E16" s="3" t="n">
        <v>8.1</v>
      </c>
      <c r="F16" s="3" t="n">
        <v>10</v>
      </c>
      <c r="G16" s="3" t="s">
        <v>100</v>
      </c>
      <c r="H16" s="3" t="s">
        <v>116</v>
      </c>
    </row>
    <row r="17" customFormat="false" ht="15" hidden="false" customHeight="false" outlineLevel="0" collapsed="false">
      <c r="A17" s="3" t="s">
        <v>35</v>
      </c>
      <c r="B17" s="3" t="s">
        <v>37</v>
      </c>
      <c r="C17" s="3" t="s">
        <v>110</v>
      </c>
      <c r="D17" s="15" t="s">
        <v>97</v>
      </c>
      <c r="E17" s="3" t="n">
        <v>5</v>
      </c>
      <c r="F17" s="3" t="n">
        <v>5</v>
      </c>
      <c r="G17" s="3" t="s">
        <v>100</v>
      </c>
      <c r="H17" s="3" t="s">
        <v>111</v>
      </c>
    </row>
    <row r="18" customFormat="false" ht="15" hidden="false" customHeight="false" outlineLevel="0" collapsed="false">
      <c r="A18" s="3" t="s">
        <v>44</v>
      </c>
      <c r="B18" s="3" t="s">
        <v>46</v>
      </c>
      <c r="C18" s="3" t="s">
        <v>92</v>
      </c>
      <c r="D18" s="15" t="s">
        <v>97</v>
      </c>
      <c r="E18" s="3" t="n">
        <v>5</v>
      </c>
      <c r="F18" s="3" t="n">
        <v>5</v>
      </c>
      <c r="G18" s="3" t="s">
        <v>94</v>
      </c>
      <c r="H18" s="3" t="s">
        <v>112</v>
      </c>
    </row>
    <row r="19" customFormat="false" ht="15" hidden="false" customHeight="false" outlineLevel="0" collapsed="false">
      <c r="A19" s="3" t="s">
        <v>44</v>
      </c>
      <c r="B19" s="3" t="s">
        <v>46</v>
      </c>
      <c r="C19" s="3" t="s">
        <v>96</v>
      </c>
      <c r="D19" s="14" t="s">
        <v>93</v>
      </c>
      <c r="E19" s="3" t="n">
        <v>0</v>
      </c>
      <c r="F19" s="3" t="n">
        <v>10</v>
      </c>
      <c r="G19" s="3" t="s">
        <v>94</v>
      </c>
      <c r="H19" s="3" t="s">
        <v>117</v>
      </c>
    </row>
    <row r="20" customFormat="false" ht="15" hidden="false" customHeight="false" outlineLevel="0" collapsed="false">
      <c r="A20" s="3" t="s">
        <v>44</v>
      </c>
      <c r="B20" s="3" t="s">
        <v>46</v>
      </c>
      <c r="C20" s="3" t="s">
        <v>99</v>
      </c>
      <c r="D20" s="15" t="s">
        <v>97</v>
      </c>
      <c r="E20" s="3" t="n">
        <v>15</v>
      </c>
      <c r="F20" s="3" t="n">
        <v>15</v>
      </c>
      <c r="G20" s="3" t="s">
        <v>100</v>
      </c>
      <c r="H20" s="3" t="s">
        <v>118</v>
      </c>
    </row>
    <row r="21" customFormat="false" ht="15" hidden="false" customHeight="false" outlineLevel="0" collapsed="false">
      <c r="A21" s="3" t="s">
        <v>44</v>
      </c>
      <c r="B21" s="3" t="s">
        <v>46</v>
      </c>
      <c r="C21" s="3" t="s">
        <v>102</v>
      </c>
      <c r="D21" s="15" t="s">
        <v>97</v>
      </c>
      <c r="E21" s="3" t="n">
        <v>35</v>
      </c>
      <c r="F21" s="3" t="n">
        <v>35</v>
      </c>
      <c r="G21" s="3" t="s">
        <v>94</v>
      </c>
      <c r="H21" s="3" t="s">
        <v>103</v>
      </c>
    </row>
    <row r="22" customFormat="false" ht="15" hidden="false" customHeight="false" outlineLevel="0" collapsed="false">
      <c r="A22" s="3" t="s">
        <v>44</v>
      </c>
      <c r="B22" s="3" t="s">
        <v>46</v>
      </c>
      <c r="C22" s="3" t="s">
        <v>104</v>
      </c>
      <c r="D22" s="14" t="s">
        <v>93</v>
      </c>
      <c r="E22" s="3" t="n">
        <v>0</v>
      </c>
      <c r="F22" s="3" t="n">
        <v>10</v>
      </c>
      <c r="G22" s="3" t="s">
        <v>100</v>
      </c>
      <c r="H22" s="3" t="s">
        <v>119</v>
      </c>
    </row>
    <row r="23" customFormat="false" ht="15" hidden="false" customHeight="false" outlineLevel="0" collapsed="false">
      <c r="A23" s="3" t="s">
        <v>44</v>
      </c>
      <c r="B23" s="3" t="s">
        <v>46</v>
      </c>
      <c r="C23" s="3" t="s">
        <v>106</v>
      </c>
      <c r="D23" s="15" t="s">
        <v>97</v>
      </c>
      <c r="E23" s="3" t="n">
        <v>5</v>
      </c>
      <c r="F23" s="3" t="n">
        <v>10</v>
      </c>
      <c r="G23" s="3" t="s">
        <v>100</v>
      </c>
      <c r="H23" s="3" t="s">
        <v>120</v>
      </c>
    </row>
    <row r="24" customFormat="false" ht="15" hidden="false" customHeight="false" outlineLevel="0" collapsed="false">
      <c r="A24" s="3" t="s">
        <v>44</v>
      </c>
      <c r="B24" s="3" t="s">
        <v>46</v>
      </c>
      <c r="C24" s="3" t="s">
        <v>108</v>
      </c>
      <c r="D24" s="14" t="s">
        <v>93</v>
      </c>
      <c r="E24" s="3" t="n">
        <v>7.4</v>
      </c>
      <c r="F24" s="3" t="n">
        <v>10</v>
      </c>
      <c r="G24" s="3" t="s">
        <v>100</v>
      </c>
      <c r="H24" s="3" t="s">
        <v>121</v>
      </c>
    </row>
    <row r="25" customFormat="false" ht="15" hidden="false" customHeight="false" outlineLevel="0" collapsed="false">
      <c r="A25" s="3" t="s">
        <v>44</v>
      </c>
      <c r="B25" s="3" t="s">
        <v>46</v>
      </c>
      <c r="C25" s="3" t="s">
        <v>110</v>
      </c>
      <c r="D25" s="15" t="s">
        <v>97</v>
      </c>
      <c r="E25" s="3" t="n">
        <v>5</v>
      </c>
      <c r="F25" s="3" t="n">
        <v>5</v>
      </c>
      <c r="G25" s="3" t="s">
        <v>100</v>
      </c>
      <c r="H25" s="3" t="s">
        <v>111</v>
      </c>
    </row>
    <row r="26" customFormat="false" ht="15" hidden="false" customHeight="false" outlineLevel="0" collapsed="false">
      <c r="A26" s="3" t="s">
        <v>51</v>
      </c>
      <c r="B26" s="3" t="s">
        <v>53</v>
      </c>
      <c r="C26" s="3" t="s">
        <v>92</v>
      </c>
      <c r="D26" s="15" t="s">
        <v>97</v>
      </c>
      <c r="E26" s="3" t="n">
        <v>5</v>
      </c>
      <c r="F26" s="3" t="n">
        <v>5</v>
      </c>
      <c r="G26" s="3" t="s">
        <v>94</v>
      </c>
      <c r="H26" s="3" t="s">
        <v>112</v>
      </c>
    </row>
    <row r="27" customFormat="false" ht="15" hidden="false" customHeight="false" outlineLevel="0" collapsed="false">
      <c r="A27" s="3" t="s">
        <v>51</v>
      </c>
      <c r="B27" s="3" t="s">
        <v>53</v>
      </c>
      <c r="C27" s="3" t="s">
        <v>96</v>
      </c>
      <c r="D27" s="15" t="s">
        <v>97</v>
      </c>
      <c r="E27" s="3" t="n">
        <v>10</v>
      </c>
      <c r="F27" s="3" t="n">
        <v>10</v>
      </c>
      <c r="G27" s="3" t="s">
        <v>94</v>
      </c>
      <c r="H27" s="3" t="s">
        <v>98</v>
      </c>
    </row>
    <row r="28" customFormat="false" ht="15" hidden="false" customHeight="false" outlineLevel="0" collapsed="false">
      <c r="A28" s="3" t="s">
        <v>51</v>
      </c>
      <c r="B28" s="3" t="s">
        <v>53</v>
      </c>
      <c r="C28" s="3" t="s">
        <v>99</v>
      </c>
      <c r="D28" s="15" t="s">
        <v>97</v>
      </c>
      <c r="E28" s="3" t="n">
        <v>15</v>
      </c>
      <c r="F28" s="3" t="n">
        <v>15</v>
      </c>
      <c r="G28" s="3" t="s">
        <v>100</v>
      </c>
      <c r="H28" s="3" t="s">
        <v>122</v>
      </c>
    </row>
    <row r="29" customFormat="false" ht="15" hidden="false" customHeight="false" outlineLevel="0" collapsed="false">
      <c r="A29" s="3" t="s">
        <v>51</v>
      </c>
      <c r="B29" s="3" t="s">
        <v>53</v>
      </c>
      <c r="C29" s="3" t="s">
        <v>102</v>
      </c>
      <c r="D29" s="15" t="s">
        <v>97</v>
      </c>
      <c r="E29" s="3" t="n">
        <v>35</v>
      </c>
      <c r="F29" s="3" t="n">
        <v>35</v>
      </c>
      <c r="G29" s="3" t="s">
        <v>94</v>
      </c>
      <c r="H29" s="3" t="s">
        <v>103</v>
      </c>
    </row>
    <row r="30" customFormat="false" ht="15" hidden="false" customHeight="false" outlineLevel="0" collapsed="false">
      <c r="A30" s="3" t="s">
        <v>51</v>
      </c>
      <c r="B30" s="3" t="s">
        <v>53</v>
      </c>
      <c r="C30" s="3" t="s">
        <v>104</v>
      </c>
      <c r="D30" s="15" t="s">
        <v>97</v>
      </c>
      <c r="E30" s="3" t="n">
        <v>10</v>
      </c>
      <c r="F30" s="3" t="n">
        <v>10</v>
      </c>
      <c r="G30" s="3" t="s">
        <v>100</v>
      </c>
      <c r="H30" s="3" t="s">
        <v>115</v>
      </c>
    </row>
    <row r="31" customFormat="false" ht="15" hidden="false" customHeight="false" outlineLevel="0" collapsed="false">
      <c r="A31" s="3" t="s">
        <v>51</v>
      </c>
      <c r="B31" s="3" t="s">
        <v>53</v>
      </c>
      <c r="C31" s="3" t="s">
        <v>106</v>
      </c>
      <c r="D31" s="15" t="s">
        <v>97</v>
      </c>
      <c r="E31" s="3" t="n">
        <v>5</v>
      </c>
      <c r="F31" s="3" t="n">
        <v>10</v>
      </c>
      <c r="G31" s="3" t="s">
        <v>100</v>
      </c>
      <c r="H31" s="3" t="s">
        <v>123</v>
      </c>
    </row>
    <row r="32" customFormat="false" ht="15" hidden="false" customHeight="false" outlineLevel="0" collapsed="false">
      <c r="A32" s="3" t="s">
        <v>51</v>
      </c>
      <c r="B32" s="3" t="s">
        <v>53</v>
      </c>
      <c r="C32" s="3" t="s">
        <v>108</v>
      </c>
      <c r="D32" s="14" t="s">
        <v>93</v>
      </c>
      <c r="E32" s="3" t="n">
        <v>9.7</v>
      </c>
      <c r="F32" s="3" t="n">
        <v>10</v>
      </c>
      <c r="G32" s="3" t="s">
        <v>100</v>
      </c>
      <c r="H32" s="3" t="s">
        <v>124</v>
      </c>
    </row>
    <row r="33" customFormat="false" ht="15" hidden="false" customHeight="false" outlineLevel="0" collapsed="false">
      <c r="A33" s="3" t="s">
        <v>51</v>
      </c>
      <c r="B33" s="3" t="s">
        <v>53</v>
      </c>
      <c r="C33" s="3" t="s">
        <v>110</v>
      </c>
      <c r="D33" s="15" t="s">
        <v>97</v>
      </c>
      <c r="E33" s="3" t="n">
        <v>5</v>
      </c>
      <c r="F33" s="3" t="n">
        <v>5</v>
      </c>
      <c r="G33" s="3" t="s">
        <v>100</v>
      </c>
      <c r="H33" s="3" t="s">
        <v>111</v>
      </c>
    </row>
    <row r="34" customFormat="false" ht="15" hidden="false" customHeight="false" outlineLevel="0" collapsed="false">
      <c r="A34" s="3" t="s">
        <v>58</v>
      </c>
      <c r="B34" s="3" t="s">
        <v>60</v>
      </c>
      <c r="C34" s="3" t="s">
        <v>92</v>
      </c>
      <c r="D34" s="15" t="s">
        <v>97</v>
      </c>
      <c r="E34" s="3" t="n">
        <v>5</v>
      </c>
      <c r="F34" s="3" t="n">
        <v>5</v>
      </c>
      <c r="G34" s="3" t="s">
        <v>94</v>
      </c>
      <c r="H34" s="3" t="s">
        <v>112</v>
      </c>
    </row>
    <row r="35" customFormat="false" ht="15" hidden="false" customHeight="false" outlineLevel="0" collapsed="false">
      <c r="A35" s="3" t="s">
        <v>58</v>
      </c>
      <c r="B35" s="3" t="s">
        <v>60</v>
      </c>
      <c r="C35" s="3" t="s">
        <v>96</v>
      </c>
      <c r="D35" s="15" t="s">
        <v>97</v>
      </c>
      <c r="E35" s="3" t="n">
        <v>10</v>
      </c>
      <c r="F35" s="3" t="n">
        <v>10</v>
      </c>
      <c r="G35" s="3" t="s">
        <v>94</v>
      </c>
      <c r="H35" s="3" t="s">
        <v>98</v>
      </c>
    </row>
    <row r="36" customFormat="false" ht="15" hidden="false" customHeight="false" outlineLevel="0" collapsed="false">
      <c r="A36" s="3" t="s">
        <v>58</v>
      </c>
      <c r="B36" s="3" t="s">
        <v>60</v>
      </c>
      <c r="C36" s="3" t="s">
        <v>99</v>
      </c>
      <c r="D36" s="15" t="s">
        <v>97</v>
      </c>
      <c r="E36" s="3" t="n">
        <v>15</v>
      </c>
      <c r="F36" s="3" t="n">
        <v>15</v>
      </c>
      <c r="G36" s="3" t="s">
        <v>100</v>
      </c>
      <c r="H36" s="3" t="s">
        <v>125</v>
      </c>
    </row>
    <row r="37" customFormat="false" ht="15" hidden="false" customHeight="false" outlineLevel="0" collapsed="false">
      <c r="A37" s="3" t="s">
        <v>58</v>
      </c>
      <c r="B37" s="3" t="s">
        <v>60</v>
      </c>
      <c r="C37" s="3" t="s">
        <v>102</v>
      </c>
      <c r="D37" s="15" t="s">
        <v>97</v>
      </c>
      <c r="E37" s="3" t="n">
        <v>35</v>
      </c>
      <c r="F37" s="3" t="n">
        <v>35</v>
      </c>
      <c r="G37" s="3" t="s">
        <v>94</v>
      </c>
      <c r="H37" s="3" t="s">
        <v>103</v>
      </c>
    </row>
    <row r="38" customFormat="false" ht="15" hidden="false" customHeight="false" outlineLevel="0" collapsed="false">
      <c r="A38" s="3" t="s">
        <v>58</v>
      </c>
      <c r="B38" s="3" t="s">
        <v>60</v>
      </c>
      <c r="C38" s="3" t="s">
        <v>104</v>
      </c>
      <c r="D38" s="15" t="s">
        <v>97</v>
      </c>
      <c r="E38" s="3" t="n">
        <v>2</v>
      </c>
      <c r="F38" s="3" t="n">
        <v>10</v>
      </c>
      <c r="G38" s="3" t="s">
        <v>100</v>
      </c>
      <c r="H38" s="3" t="s">
        <v>126</v>
      </c>
    </row>
    <row r="39" customFormat="false" ht="15" hidden="false" customHeight="false" outlineLevel="0" collapsed="false">
      <c r="A39" s="3" t="s">
        <v>58</v>
      </c>
      <c r="B39" s="3" t="s">
        <v>60</v>
      </c>
      <c r="C39" s="3" t="s">
        <v>106</v>
      </c>
      <c r="D39" s="15" t="s">
        <v>97</v>
      </c>
      <c r="E39" s="3" t="n">
        <v>10</v>
      </c>
      <c r="F39" s="3" t="n">
        <v>10</v>
      </c>
      <c r="G39" s="3" t="s">
        <v>100</v>
      </c>
      <c r="H39" s="3" t="s">
        <v>127</v>
      </c>
    </row>
    <row r="40" customFormat="false" ht="15" hidden="false" customHeight="false" outlineLevel="0" collapsed="false">
      <c r="A40" s="3" t="s">
        <v>58</v>
      </c>
      <c r="B40" s="3" t="s">
        <v>60</v>
      </c>
      <c r="C40" s="3" t="s">
        <v>108</v>
      </c>
      <c r="D40" s="14" t="s">
        <v>93</v>
      </c>
      <c r="E40" s="3" t="n">
        <v>8.8</v>
      </c>
      <c r="F40" s="3" t="n">
        <v>10</v>
      </c>
      <c r="G40" s="3" t="s">
        <v>100</v>
      </c>
      <c r="H40" s="3" t="s">
        <v>128</v>
      </c>
    </row>
    <row r="41" customFormat="false" ht="15" hidden="false" customHeight="false" outlineLevel="0" collapsed="false">
      <c r="A41" s="3" t="s">
        <v>58</v>
      </c>
      <c r="B41" s="3" t="s">
        <v>60</v>
      </c>
      <c r="C41" s="3" t="s">
        <v>110</v>
      </c>
      <c r="D41" s="15" t="s">
        <v>97</v>
      </c>
      <c r="E41" s="3" t="n">
        <v>5</v>
      </c>
      <c r="F41" s="3" t="n">
        <v>5</v>
      </c>
      <c r="G41" s="3" t="s">
        <v>100</v>
      </c>
      <c r="H41" s="3" t="s">
        <v>111</v>
      </c>
    </row>
    <row r="42" customFormat="false" ht="15" hidden="false" customHeight="false" outlineLevel="0" collapsed="false">
      <c r="A42" s="3" t="s">
        <v>70</v>
      </c>
      <c r="B42" s="3" t="s">
        <v>72</v>
      </c>
      <c r="C42" s="3" t="s">
        <v>92</v>
      </c>
      <c r="D42" s="15" t="s">
        <v>97</v>
      </c>
      <c r="E42" s="3" t="n">
        <v>5</v>
      </c>
      <c r="F42" s="3" t="n">
        <v>5</v>
      </c>
      <c r="G42" s="3" t="s">
        <v>94</v>
      </c>
      <c r="H42" s="3" t="s">
        <v>112</v>
      </c>
    </row>
    <row r="43" customFormat="false" ht="15" hidden="false" customHeight="false" outlineLevel="0" collapsed="false">
      <c r="A43" s="3" t="s">
        <v>70</v>
      </c>
      <c r="B43" s="3" t="s">
        <v>72</v>
      </c>
      <c r="C43" s="3" t="s">
        <v>96</v>
      </c>
      <c r="D43" s="15" t="s">
        <v>97</v>
      </c>
      <c r="E43" s="3" t="n">
        <v>10</v>
      </c>
      <c r="F43" s="3" t="n">
        <v>10</v>
      </c>
      <c r="G43" s="3" t="s">
        <v>94</v>
      </c>
      <c r="H43" s="3" t="s">
        <v>98</v>
      </c>
    </row>
    <row r="44" customFormat="false" ht="15" hidden="false" customHeight="false" outlineLevel="0" collapsed="false">
      <c r="A44" s="3" t="s">
        <v>70</v>
      </c>
      <c r="B44" s="3" t="s">
        <v>72</v>
      </c>
      <c r="C44" s="3" t="s">
        <v>99</v>
      </c>
      <c r="D44" s="15" t="s">
        <v>97</v>
      </c>
      <c r="E44" s="3" t="n">
        <v>15</v>
      </c>
      <c r="F44" s="3" t="n">
        <v>15</v>
      </c>
      <c r="G44" s="3" t="s">
        <v>100</v>
      </c>
      <c r="H44" s="3" t="s">
        <v>129</v>
      </c>
    </row>
    <row r="45" customFormat="false" ht="15" hidden="false" customHeight="false" outlineLevel="0" collapsed="false">
      <c r="A45" s="3" t="s">
        <v>70</v>
      </c>
      <c r="B45" s="3" t="s">
        <v>72</v>
      </c>
      <c r="C45" s="3" t="s">
        <v>102</v>
      </c>
      <c r="D45" s="14" t="s">
        <v>93</v>
      </c>
      <c r="E45" s="3" t="n">
        <v>11.7</v>
      </c>
      <c r="F45" s="3" t="n">
        <v>35</v>
      </c>
      <c r="G45" s="3" t="s">
        <v>94</v>
      </c>
      <c r="H45" s="3" t="s">
        <v>130</v>
      </c>
    </row>
    <row r="46" customFormat="false" ht="15" hidden="false" customHeight="false" outlineLevel="0" collapsed="false">
      <c r="A46" s="3" t="s">
        <v>70</v>
      </c>
      <c r="B46" s="3" t="s">
        <v>72</v>
      </c>
      <c r="C46" s="3" t="s">
        <v>104</v>
      </c>
      <c r="D46" s="14" t="s">
        <v>93</v>
      </c>
      <c r="E46" s="3" t="n">
        <v>0</v>
      </c>
      <c r="F46" s="3" t="n">
        <v>10</v>
      </c>
      <c r="G46" s="3" t="s">
        <v>100</v>
      </c>
      <c r="H46" s="3" t="s">
        <v>119</v>
      </c>
    </row>
    <row r="47" customFormat="false" ht="15" hidden="false" customHeight="false" outlineLevel="0" collapsed="false">
      <c r="A47" s="3" t="s">
        <v>70</v>
      </c>
      <c r="B47" s="3" t="s">
        <v>72</v>
      </c>
      <c r="C47" s="3" t="s">
        <v>106</v>
      </c>
      <c r="D47" s="14" t="s">
        <v>93</v>
      </c>
      <c r="E47" s="3" t="n">
        <v>0</v>
      </c>
      <c r="F47" s="3" t="n">
        <v>10</v>
      </c>
      <c r="G47" s="3" t="s">
        <v>100</v>
      </c>
      <c r="H47" s="3" t="s">
        <v>131</v>
      </c>
    </row>
    <row r="48" customFormat="false" ht="15" hidden="false" customHeight="false" outlineLevel="0" collapsed="false">
      <c r="A48" s="3" t="s">
        <v>70</v>
      </c>
      <c r="B48" s="3" t="s">
        <v>72</v>
      </c>
      <c r="C48" s="3" t="s">
        <v>108</v>
      </c>
      <c r="D48" s="14" t="s">
        <v>93</v>
      </c>
      <c r="E48" s="3" t="n">
        <v>6.8</v>
      </c>
      <c r="F48" s="3" t="n">
        <v>10</v>
      </c>
      <c r="G48" s="3" t="s">
        <v>100</v>
      </c>
      <c r="H48" s="3" t="s">
        <v>132</v>
      </c>
    </row>
    <row r="49" customFormat="false" ht="15" hidden="false" customHeight="false" outlineLevel="0" collapsed="false">
      <c r="A49" s="3" t="s">
        <v>70</v>
      </c>
      <c r="B49" s="3" t="s">
        <v>72</v>
      </c>
      <c r="C49" s="3" t="s">
        <v>110</v>
      </c>
      <c r="D49" s="15" t="s">
        <v>97</v>
      </c>
      <c r="E49" s="3" t="n">
        <v>5</v>
      </c>
      <c r="F49" s="3" t="n">
        <v>5</v>
      </c>
      <c r="G49" s="3" t="s">
        <v>100</v>
      </c>
      <c r="H49" s="3" t="s">
        <v>111</v>
      </c>
    </row>
    <row r="50" customFormat="false" ht="15" hidden="false" customHeight="false" outlineLevel="0" collapsed="false">
      <c r="A50" s="3" t="s">
        <v>78</v>
      </c>
      <c r="B50" s="3" t="s">
        <v>80</v>
      </c>
      <c r="C50" s="3" t="s">
        <v>92</v>
      </c>
      <c r="D50" s="15" t="s">
        <v>97</v>
      </c>
      <c r="E50" s="3" t="n">
        <v>5</v>
      </c>
      <c r="F50" s="3" t="n">
        <v>5</v>
      </c>
      <c r="G50" s="3" t="s">
        <v>94</v>
      </c>
      <c r="H50" s="3" t="s">
        <v>112</v>
      </c>
    </row>
    <row r="51" customFormat="false" ht="15" hidden="false" customHeight="false" outlineLevel="0" collapsed="false">
      <c r="A51" s="3" t="s">
        <v>78</v>
      </c>
      <c r="B51" s="3" t="s">
        <v>80</v>
      </c>
      <c r="C51" s="3" t="s">
        <v>96</v>
      </c>
      <c r="D51" s="15" t="s">
        <v>97</v>
      </c>
      <c r="E51" s="3" t="n">
        <v>10</v>
      </c>
      <c r="F51" s="3" t="n">
        <v>10</v>
      </c>
      <c r="G51" s="3" t="s">
        <v>94</v>
      </c>
      <c r="H51" s="3" t="s">
        <v>98</v>
      </c>
    </row>
    <row r="52" customFormat="false" ht="15" hidden="false" customHeight="false" outlineLevel="0" collapsed="false">
      <c r="A52" s="3" t="s">
        <v>78</v>
      </c>
      <c r="B52" s="3" t="s">
        <v>80</v>
      </c>
      <c r="C52" s="3" t="s">
        <v>99</v>
      </c>
      <c r="D52" s="15" t="s">
        <v>97</v>
      </c>
      <c r="E52" s="3" t="n">
        <v>15</v>
      </c>
      <c r="F52" s="3" t="n">
        <v>15</v>
      </c>
      <c r="G52" s="3" t="s">
        <v>100</v>
      </c>
      <c r="H52" s="3" t="s">
        <v>101</v>
      </c>
    </row>
    <row r="53" customFormat="false" ht="15" hidden="false" customHeight="false" outlineLevel="0" collapsed="false">
      <c r="A53" s="3" t="s">
        <v>78</v>
      </c>
      <c r="B53" s="3" t="s">
        <v>80</v>
      </c>
      <c r="C53" s="3" t="s">
        <v>102</v>
      </c>
      <c r="D53" s="15" t="s">
        <v>97</v>
      </c>
      <c r="E53" s="3" t="n">
        <v>23.3</v>
      </c>
      <c r="F53" s="3" t="n">
        <v>35</v>
      </c>
      <c r="G53" s="3" t="s">
        <v>94</v>
      </c>
      <c r="H53" s="3" t="s">
        <v>133</v>
      </c>
    </row>
    <row r="54" customFormat="false" ht="15" hidden="false" customHeight="false" outlineLevel="0" collapsed="false">
      <c r="A54" s="3" t="s">
        <v>78</v>
      </c>
      <c r="B54" s="3" t="s">
        <v>80</v>
      </c>
      <c r="C54" s="3" t="s">
        <v>104</v>
      </c>
      <c r="D54" s="14" t="s">
        <v>93</v>
      </c>
      <c r="E54" s="3" t="n">
        <v>0</v>
      </c>
      <c r="F54" s="3" t="n">
        <v>10</v>
      </c>
      <c r="G54" s="3" t="s">
        <v>100</v>
      </c>
      <c r="H54" s="3" t="s">
        <v>119</v>
      </c>
    </row>
    <row r="55" customFormat="false" ht="15" hidden="false" customHeight="false" outlineLevel="0" collapsed="false">
      <c r="A55" s="3" t="s">
        <v>78</v>
      </c>
      <c r="B55" s="3" t="s">
        <v>80</v>
      </c>
      <c r="C55" s="3" t="s">
        <v>106</v>
      </c>
      <c r="D55" s="14" t="s">
        <v>93</v>
      </c>
      <c r="E55" s="3" t="n">
        <v>0</v>
      </c>
      <c r="F55" s="3" t="n">
        <v>10</v>
      </c>
      <c r="G55" s="3" t="s">
        <v>100</v>
      </c>
      <c r="H55" s="3" t="s">
        <v>131</v>
      </c>
    </row>
    <row r="56" customFormat="false" ht="15" hidden="false" customHeight="false" outlineLevel="0" collapsed="false">
      <c r="A56" s="3" t="s">
        <v>78</v>
      </c>
      <c r="B56" s="3" t="s">
        <v>80</v>
      </c>
      <c r="C56" s="3" t="s">
        <v>108</v>
      </c>
      <c r="D56" s="14" t="s">
        <v>93</v>
      </c>
      <c r="E56" s="3" t="n">
        <v>7.6</v>
      </c>
      <c r="F56" s="3" t="n">
        <v>10</v>
      </c>
      <c r="G56" s="3" t="s">
        <v>100</v>
      </c>
      <c r="H56" s="3" t="s">
        <v>134</v>
      </c>
    </row>
    <row r="57" customFormat="false" ht="15" hidden="false" customHeight="false" outlineLevel="0" collapsed="false">
      <c r="A57" s="3" t="s">
        <v>78</v>
      </c>
      <c r="B57" s="3" t="s">
        <v>80</v>
      </c>
      <c r="C57" s="3" t="s">
        <v>110</v>
      </c>
      <c r="D57" s="15" t="s">
        <v>97</v>
      </c>
      <c r="E57" s="3" t="n">
        <v>5</v>
      </c>
      <c r="F57" s="3" t="n">
        <v>5</v>
      </c>
      <c r="G57" s="3" t="s">
        <v>100</v>
      </c>
      <c r="H57" s="3" t="s">
        <v>111</v>
      </c>
    </row>
  </sheetData>
  <autoFilter ref="A1:H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2026-10-13T14:13:23Z</dcterms:created>
  <dc:creator>openpyxl</dc:creator>
  <dc:description/>
  <dc:language>en-US</dc:language>
  <cp:lastModifiedBy/>
  <dcterms:modified xsi:type="dcterms:W3CDTF">2026-10-13T14:13:23Z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