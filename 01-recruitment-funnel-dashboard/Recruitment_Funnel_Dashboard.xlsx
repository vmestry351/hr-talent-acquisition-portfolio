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ndidate_Data" sheetId="2" state="visible" r:id="rId4"/>
    <sheet name="ReadMe" sheetId="3" state="visible" r:id="rId5"/>
  </sheets>
  <definedNames>
    <definedName function="false" hidden="true" localSheetId="1" name="_xlnm._FilterDatabase" vbProcedure="false">Candidate_Data!$A$1:$K$300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<sst xmlns="http://schemas.openxmlformats.org/spreadsheetml/2006/main" count="783" uniqueCount="164">
  <si>
    <t xml:space="preserve">Recruitment Funnel Dashboard</t>
  </si>
  <si>
    <t xml:space="preserve">Talent Acquisition project | Mock data (100 candidates, Jun-Oct 2026) | Replace the blue cells in Candidate_Data with your own anonymised data</t>
  </si>
  <si>
    <t xml:space="preserve">Total Applicants</t>
  </si>
  <si>
    <t xml:space="preserve">Shortlisted</t>
  </si>
  <si>
    <t xml:space="preserve">Interviewed</t>
  </si>
  <si>
    <t xml:space="preserve">Offers Made</t>
  </si>
  <si>
    <t xml:space="preserve">Joined</t>
  </si>
  <si>
    <t xml:space="preserve">Offer Acceptance Rate</t>
  </si>
  <si>
    <t xml:space="preserve">Avg Days to Hire</t>
  </si>
  <si>
    <t xml:space="preserve">Applicant-to-Join Rate</t>
  </si>
  <si>
    <t xml:space="preserve">1. Hiring Funnel</t>
  </si>
  <si>
    <t xml:space="preserve">Stage</t>
  </si>
  <si>
    <t xml:space="preserve">Candidates</t>
  </si>
  <si>
    <t xml:space="preserve">% of Applicants</t>
  </si>
  <si>
    <t xml:space="preserve">Drop-off vs Previous Stage</t>
  </si>
  <si>
    <t xml:space="preserve">Applied</t>
  </si>
  <si>
    <t xml:space="preserve">-</t>
  </si>
  <si>
    <t xml:space="preserve">Offer Made</t>
  </si>
  <si>
    <t xml:space="preserve">2. Performance by Sourcing Channel</t>
  </si>
  <si>
    <t xml:space="preserve">Source</t>
  </si>
  <si>
    <t xml:space="preserve">Applicants</t>
  </si>
  <si>
    <t xml:space="preserve">Offers</t>
  </si>
  <si>
    <t xml:space="preserve">Joining Rate</t>
  </si>
  <si>
    <t xml:space="preserve">LinkedIn</t>
  </si>
  <si>
    <t xml:space="preserve">Naukri</t>
  </si>
  <si>
    <t xml:space="preserve">Indeed</t>
  </si>
  <si>
    <t xml:space="preserve">Employee Referral</t>
  </si>
  <si>
    <t xml:space="preserve">Campus</t>
  </si>
  <si>
    <t xml:space="preserve">Total</t>
  </si>
  <si>
    <t xml:space="preserve">3. Performance by Role</t>
  </si>
  <si>
    <t xml:space="preserve">Role</t>
  </si>
  <si>
    <t xml:space="preserve">Sales Executive</t>
  </si>
  <si>
    <t xml:space="preserve">HR Executive</t>
  </si>
  <si>
    <t xml:space="preserve">Customer Support Executive</t>
  </si>
  <si>
    <t xml:space="preserve">Digital Marketing Executive</t>
  </si>
  <si>
    <t xml:space="preserve">4. Key Insights (update automatically)</t>
  </si>
  <si>
    <t xml:space="preserve">Recommendation: put more recruiter effort into the best-converting channel and fix the stage with the biggest drop-off (edit this line after reviewing your own data).</t>
  </si>
  <si>
    <t xml:space="preserve">Candidate ID</t>
  </si>
  <si>
    <t xml:space="preserve">Application Date</t>
  </si>
  <si>
    <t xml:space="preserve">Joining Date</t>
  </si>
  <si>
    <t xml:space="preserve">Days to Hire</t>
  </si>
  <si>
    <t xml:space="preserve">Final Status</t>
  </si>
  <si>
    <t xml:space="preserve">CAND-001</t>
  </si>
  <si>
    <t xml:space="preserve">Yes</t>
  </si>
  <si>
    <t xml:space="preserve">No</t>
  </si>
  <si>
    <t xml:space="preserve">CAND-002</t>
  </si>
  <si>
    <t xml:space="preserve">CAND-003</t>
  </si>
  <si>
    <t xml:space="preserve">CAND-004</t>
  </si>
  <si>
    <t xml:space="preserve">CAND-005</t>
  </si>
  <si>
    <t xml:space="preserve">CAND-006</t>
  </si>
  <si>
    <t xml:space="preserve">CAND-007</t>
  </si>
  <si>
    <t xml:space="preserve">CAND-008</t>
  </si>
  <si>
    <t xml:space="preserve">CAND-009</t>
  </si>
  <si>
    <t xml:space="preserve">CAND-010</t>
  </si>
  <si>
    <t xml:space="preserve">CAND-011</t>
  </si>
  <si>
    <t xml:space="preserve">CAND-012</t>
  </si>
  <si>
    <t xml:space="preserve">CAND-013</t>
  </si>
  <si>
    <t xml:space="preserve">CAND-014</t>
  </si>
  <si>
    <t xml:space="preserve">CAND-015</t>
  </si>
  <si>
    <t xml:space="preserve">CAND-016</t>
  </si>
  <si>
    <t xml:space="preserve">CAND-017</t>
  </si>
  <si>
    <t xml:space="preserve">CAND-018</t>
  </si>
  <si>
    <t xml:space="preserve">CAND-019</t>
  </si>
  <si>
    <t xml:space="preserve">CAND-020</t>
  </si>
  <si>
    <t xml:space="preserve">CAND-021</t>
  </si>
  <si>
    <t xml:space="preserve">CAND-022</t>
  </si>
  <si>
    <t xml:space="preserve">CAND-023</t>
  </si>
  <si>
    <t xml:space="preserve">CAND-024</t>
  </si>
  <si>
    <t xml:space="preserve">CAND-025</t>
  </si>
  <si>
    <t xml:space="preserve">CAND-026</t>
  </si>
  <si>
    <t xml:space="preserve">CAND-027</t>
  </si>
  <si>
    <t xml:space="preserve">CAND-028</t>
  </si>
  <si>
    <t xml:space="preserve">CAND-029</t>
  </si>
  <si>
    <t xml:space="preserve">CAND-030</t>
  </si>
  <si>
    <t xml:space="preserve">CAND-031</t>
  </si>
  <si>
    <t xml:space="preserve">CAND-032</t>
  </si>
  <si>
    <t xml:space="preserve">CAND-033</t>
  </si>
  <si>
    <t xml:space="preserve">CAND-034</t>
  </si>
  <si>
    <t xml:space="preserve">CAND-035</t>
  </si>
  <si>
    <t xml:space="preserve">CAND-036</t>
  </si>
  <si>
    <t xml:space="preserve">CAND-037</t>
  </si>
  <si>
    <t xml:space="preserve">CAND-038</t>
  </si>
  <si>
    <t xml:space="preserve">CAND-039</t>
  </si>
  <si>
    <t xml:space="preserve">CAND-040</t>
  </si>
  <si>
    <t xml:space="preserve">CAND-041</t>
  </si>
  <si>
    <t xml:space="preserve">CAND-042</t>
  </si>
  <si>
    <t xml:space="preserve">CAND-043</t>
  </si>
  <si>
    <t xml:space="preserve">CAND-044</t>
  </si>
  <si>
    <t xml:space="preserve">CAND-045</t>
  </si>
  <si>
    <t xml:space="preserve">CAND-046</t>
  </si>
  <si>
    <t xml:space="preserve">CAND-047</t>
  </si>
  <si>
    <t xml:space="preserve">CAND-048</t>
  </si>
  <si>
    <t xml:space="preserve">CAND-049</t>
  </si>
  <si>
    <t xml:space="preserve">CAND-050</t>
  </si>
  <si>
    <t xml:space="preserve">CAND-051</t>
  </si>
  <si>
    <t xml:space="preserve">CAND-052</t>
  </si>
  <si>
    <t xml:space="preserve">CAND-053</t>
  </si>
  <si>
    <t xml:space="preserve">CAND-054</t>
  </si>
  <si>
    <t xml:space="preserve">CAND-055</t>
  </si>
  <si>
    <t xml:space="preserve">CAND-056</t>
  </si>
  <si>
    <t xml:space="preserve">CAND-057</t>
  </si>
  <si>
    <t xml:space="preserve">CAND-058</t>
  </si>
  <si>
    <t xml:space="preserve">CAND-059</t>
  </si>
  <si>
    <t xml:space="preserve">CAND-060</t>
  </si>
  <si>
    <t xml:space="preserve">CAND-061</t>
  </si>
  <si>
    <t xml:space="preserve">CAND-062</t>
  </si>
  <si>
    <t xml:space="preserve">CAND-063</t>
  </si>
  <si>
    <t xml:space="preserve">CAND-064</t>
  </si>
  <si>
    <t xml:space="preserve">CAND-065</t>
  </si>
  <si>
    <t xml:space="preserve">CAND-066</t>
  </si>
  <si>
    <t xml:space="preserve">CAND-067</t>
  </si>
  <si>
    <t xml:space="preserve">CAND-068</t>
  </si>
  <si>
    <t xml:space="preserve">CAND-069</t>
  </si>
  <si>
    <t xml:space="preserve">CAND-070</t>
  </si>
  <si>
    <t xml:space="preserve">CAND-071</t>
  </si>
  <si>
    <t xml:space="preserve">CAND-072</t>
  </si>
  <si>
    <t xml:space="preserve">CAND-073</t>
  </si>
  <si>
    <t xml:space="preserve">CAND-074</t>
  </si>
  <si>
    <t xml:space="preserve">CAND-075</t>
  </si>
  <si>
    <t xml:space="preserve">CAND-076</t>
  </si>
  <si>
    <t xml:space="preserve">CAND-077</t>
  </si>
  <si>
    <t xml:space="preserve">CAND-078</t>
  </si>
  <si>
    <t xml:space="preserve">CAND-079</t>
  </si>
  <si>
    <t xml:space="preserve">CAND-080</t>
  </si>
  <si>
    <t xml:space="preserve">CAND-081</t>
  </si>
  <si>
    <t xml:space="preserve">CAND-082</t>
  </si>
  <si>
    <t xml:space="preserve">CAND-083</t>
  </si>
  <si>
    <t xml:space="preserve">CAND-084</t>
  </si>
  <si>
    <t xml:space="preserve">CAND-085</t>
  </si>
  <si>
    <t xml:space="preserve">CAND-086</t>
  </si>
  <si>
    <t xml:space="preserve">CAND-087</t>
  </si>
  <si>
    <t xml:space="preserve">CAND-088</t>
  </si>
  <si>
    <t xml:space="preserve">CAND-089</t>
  </si>
  <si>
    <t xml:space="preserve">CAND-090</t>
  </si>
  <si>
    <t xml:space="preserve">CAND-091</t>
  </si>
  <si>
    <t xml:space="preserve">CAND-092</t>
  </si>
  <si>
    <t xml:space="preserve">CAND-093</t>
  </si>
  <si>
    <t xml:space="preserve">CAND-094</t>
  </si>
  <si>
    <t xml:space="preserve">CAND-095</t>
  </si>
  <si>
    <t xml:space="preserve">CAND-096</t>
  </si>
  <si>
    <t xml:space="preserve">CAND-097</t>
  </si>
  <si>
    <t xml:space="preserve">CAND-098</t>
  </si>
  <si>
    <t xml:space="preserve">CAND-099</t>
  </si>
  <si>
    <t xml:space="preserve">CAND-100</t>
  </si>
  <si>
    <t xml:space="preserve">Recruitment Funnel Dashboard - How to use</t>
  </si>
  <si>
    <t xml:space="preserve">Purpose</t>
  </si>
  <si>
    <t xml:space="preserve">Tracks candidates through the hiring funnel (Applied &gt; Shortlisted &gt; Interviewed &gt; Offer &gt; Joined) and shows which sourcing channels and roles convert best.</t>
  </si>
  <si>
    <t xml:space="preserve">Sheets</t>
  </si>
  <si>
    <t xml:space="preserve">Dashboard - KPIs, funnel, source and role tables, charts and auto-updating insights. Do not type here; it is all formulas.</t>
  </si>
  <si>
    <t xml:space="preserve">Candidate_Data - one row per candidate. This is the only sheet you edit.</t>
  </si>
  <si>
    <t xml:space="preserve">Colour legend</t>
  </si>
  <si>
    <t xml:space="preserve">Blue text = input you can change (Role, Source, dates, Yes/No stages).</t>
  </si>
  <si>
    <t xml:space="preserve">Black text = formula. Do not overwrite (Days to Hire, Final Status, everything on the Dashboard).</t>
  </si>
  <si>
    <t xml:space="preserve">To use your own data</t>
  </si>
  <si>
    <t xml:space="preserve">1. In Candidate_Data, replace the blue cells with your own ANONYMISED data (use IDs like CAND-001, never real names or phone numbers).</t>
  </si>
  <si>
    <t xml:space="preserve">2. Enter Yes or No for Shortlisted, Interviewed, Offer Made and Joined (dropdowns are provided). A candidate marked Joined should also be marked Yes in every earlier stage.</t>
  </si>
  <si>
    <t xml:space="preserve">3. Add a Joining Date only for candidates who joined. Days to Hire calculates automatically.</t>
  </si>
  <si>
    <t xml:space="preserve">4. Formulas cover up to row 300. To add new sources or roles, add them to the tables on the Dashboard (copy a row down) and to the dropdown lists.</t>
  </si>
  <si>
    <t xml:space="preserve">Assumptions</t>
  </si>
  <si>
    <t xml:space="preserve">The 100 candidate rows are MOCK data generated for portfolio demonstration. They are not from Safalta Setu or any real company.</t>
  </si>
  <si>
    <t xml:space="preserve">Offer acceptance rate = Joined / Offers Made. Applicant-to-Join rate = Joined / Total Applicants. Days to Hire = Joining Date - Application Date.</t>
  </si>
  <si>
    <t xml:space="preserve">Joining rate by source = Joined / Applicants from that source.</t>
  </si>
  <si>
    <t xml:space="preserve">Skills demonstrated</t>
  </si>
  <si>
    <t xml:space="preserve">COUNTIF / COUNTIFS, AVERAGEIFS, INDEX-MATCH, data validation, conditional summaries, charts, KPI dashboard design.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</si>
</sst>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0.0"/>
    <numFmt numFmtId="168" formatCode="0.0%"/>
    <numFmt numFmtId="169" formatCode="General"/>
    <numFmt numFmtId="170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1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Hiring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Applied</c:v>
                </c:pt>
                <c:pt idx="1">
                  <c:v>Shortlisted</c:v>
                </c:pt>
                <c:pt idx="2">
                  <c:v>Interviewed</c:v>
                </c:pt>
                <c:pt idx="3">
                  <c:v>Offer Made</c:v>
                </c:pt>
                <c:pt idx="4">
                  <c:v>Joined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100</c:v>
                </c:pt>
                <c:pt idx="1">
                  <c:v>62</c:v>
                </c:pt>
                <c:pt idx="2">
                  <c:v>44</c:v>
                </c:pt>
                <c:pt idx="3">
                  <c:v>20</c:v>
                </c:pt>
                <c:pt idx="4">
                  <c:v>16</c:v>
                </c:pt>
              </c:numCache>
            </c:numRef>
          </c:val>
        </c:ser>
        <c:gapWidth val="150"/>
        <c:overlap val="0"/>
        <c:axId val="70998123"/>
        <c:axId val="72906576"/>
      </c:barChart>
      <c:catAx>
        <c:axId val="7099812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06576"/>
        <c:crosses val="autoZero"/>
        <c:auto val="1"/>
        <c:lblAlgn val="ctr"/>
        <c:lblOffset val="100"/>
        <c:noMultiLvlLbl val="0"/>
      </c:catAx>
      <c:valAx>
        <c:axId val="72906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981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Applicants vs Joined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Applicants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LinkedIn</c:v>
                </c:pt>
                <c:pt idx="1">
                  <c:v>Naukri</c:v>
                </c:pt>
                <c:pt idx="2">
                  <c:v>Indeed</c:v>
                </c:pt>
                <c:pt idx="3">
                  <c:v>Employee Referral</c:v>
                </c:pt>
                <c:pt idx="4">
                  <c:v>Campus</c:v>
                </c:pt>
              </c:strCache>
            </c:strRef>
          </c:cat>
          <c:val>
            <c:numRef>
              <c:f>Dashboard!$B$19:$B$23</c:f>
              <c:numCache>
                <c:formatCode>General</c:formatCode>
                <c:ptCount val="5"/>
                <c:pt idx="0">
                  <c:v>32</c:v>
                </c:pt>
                <c:pt idx="1">
                  <c:v>24</c:v>
                </c:pt>
                <c:pt idx="2">
                  <c:v>16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ser>
          <c:idx val="1"/>
          <c:order val="1"/>
          <c:tx>
            <c:strRef>
              <c:f>Dashboard!F18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LinkedIn</c:v>
                </c:pt>
                <c:pt idx="1">
                  <c:v>Naukri</c:v>
                </c:pt>
                <c:pt idx="2">
                  <c:v>Indeed</c:v>
                </c:pt>
                <c:pt idx="3">
                  <c:v>Employee Referral</c:v>
                </c:pt>
                <c:pt idx="4">
                  <c:v>Campus</c:v>
                </c:pt>
              </c:strCache>
            </c:strRef>
          </c:cat>
          <c:val>
            <c:numRef>
              <c:f>Dashboard!$F$19:$F$23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9375923"/>
        <c:axId val="56359522"/>
      </c:barChart>
      <c:catAx>
        <c:axId val="9375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59522"/>
        <c:crosses val="autoZero"/>
        <c:auto val="1"/>
        <c:lblAlgn val="ctr"/>
        <c:lblOffset val="100"/>
        <c:noMultiLvlLbl val="0"/>
      </c:catAx>
      <c:valAx>
        <c:axId val="56359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59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17</xdr:col>
      <xdr:colOff>507600</xdr:colOff>
      <xdr:row>13</xdr:row>
      <xdr:rowOff>127800</xdr:rowOff>
    </xdr:to>
    <xdr:graphicFrame>
      <xdr:nvGraphicFramePr>
        <xdr:cNvPr id="0" name="Chart 1"/>
        <xdr:cNvGraphicFramePr/>
      </xdr:nvGraphicFramePr>
      <xdr:xfrm>
        <a:off x="9633600" y="838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17</xdr:col>
      <xdr:colOff>507600</xdr:colOff>
      <xdr:row>32</xdr:row>
      <xdr:rowOff>32400</xdr:rowOff>
    </xdr:to>
    <xdr:graphicFrame>
      <xdr:nvGraphicFramePr>
        <xdr:cNvPr id="1" name="Chart 2"/>
        <xdr:cNvGraphicFramePr/>
      </xdr:nvGraphicFramePr>
      <xdr:xfrm>
        <a:off x="9633600" y="47433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7.5" hidden="false" customHeight="true" outlineLevel="0" collapsed="false">
      <c r="A5" s="4" t="n">
        <f aca="false">B11</f>
        <v>100</v>
      </c>
      <c r="B5" s="4" t="n">
        <f aca="false">B12</f>
        <v>62</v>
      </c>
      <c r="C5" s="4" t="n">
        <f aca="false">B13</f>
        <v>44</v>
      </c>
      <c r="D5" s="4" t="n">
        <f aca="false">B14</f>
        <v>20</v>
      </c>
      <c r="E5" s="4" t="n">
        <f aca="false">B15</f>
        <v>16</v>
      </c>
      <c r="F5" s="5" t="n">
        <f aca="false">IF(B14=0,0,B15/B14)</f>
        <v>0.8</v>
      </c>
      <c r="G5" s="6" t="n">
        <f aca="false">IFERROR(AVERAGE(Candidate_Data!$J$2:$J$300),0)</f>
        <v>27.375</v>
      </c>
      <c r="H5" s="7" t="n">
        <f aca="false">IF(B11=0,0,B15/B11)</f>
        <v>0.16</v>
      </c>
    </row>
    <row r="9" customFormat="false" ht="15" hidden="false" customHeight="false" outlineLevel="0" collapsed="false">
      <c r="A9" s="8" t="s">
        <v>10</v>
      </c>
      <c r="B9" s="8"/>
      <c r="C9" s="8"/>
      <c r="D9" s="8"/>
      <c r="E9" s="8"/>
      <c r="F9" s="8"/>
      <c r="G9" s="8"/>
      <c r="H9" s="8"/>
    </row>
    <row r="10" customFormat="false" ht="30" hidden="false" customHeight="true" outlineLevel="0" collapsed="false">
      <c r="A10" s="9" t="s">
        <v>11</v>
      </c>
      <c r="B10" s="9" t="s">
        <v>12</v>
      </c>
      <c r="C10" s="9" t="s">
        <v>13</v>
      </c>
      <c r="D10" s="9" t="s">
        <v>14</v>
      </c>
    </row>
    <row r="11" customFormat="false" ht="15" hidden="false" customHeight="false" outlineLevel="0" collapsed="false">
      <c r="A11" s="10" t="s">
        <v>15</v>
      </c>
      <c r="B11" s="11" t="n">
        <f aca="false">COUNTA(Candidate_Data!$A$2:$A$300)</f>
        <v>100</v>
      </c>
      <c r="C11" s="12" t="n">
        <f aca="false">IF($B$11=0,0,B11/$B$11)</f>
        <v>1</v>
      </c>
      <c r="D11" s="12" t="s">
        <v>16</v>
      </c>
    </row>
    <row r="12" customFormat="false" ht="15" hidden="false" customHeight="false" outlineLevel="0" collapsed="false">
      <c r="A12" s="10" t="s">
        <v>3</v>
      </c>
      <c r="B12" s="11" t="n">
        <f aca="false">COUNTIF(Candidate_Data!$E$2:$E$300,"Yes")</f>
        <v>62</v>
      </c>
      <c r="C12" s="12" t="n">
        <f aca="false">IF($B$11=0,0,B12/$B$11)</f>
        <v>0.62</v>
      </c>
      <c r="D12" s="12" t="n">
        <f aca="false">IF(B11=0,0,1-B12/B11)</f>
        <v>0.38</v>
      </c>
    </row>
    <row r="13" customFormat="false" ht="15" hidden="false" customHeight="false" outlineLevel="0" collapsed="false">
      <c r="A13" s="10" t="s">
        <v>4</v>
      </c>
      <c r="B13" s="11" t="n">
        <f aca="false">COUNTIF(Candidate_Data!$F$2:$F$300,"Yes")</f>
        <v>44</v>
      </c>
      <c r="C13" s="12" t="n">
        <f aca="false">IF($B$11=0,0,B13/$B$11)</f>
        <v>0.44</v>
      </c>
      <c r="D13" s="12" t="n">
        <f aca="false">IF(B12=0,0,1-B13/B12)</f>
        <v>0.290322580645161</v>
      </c>
    </row>
    <row r="14" customFormat="false" ht="15" hidden="false" customHeight="false" outlineLevel="0" collapsed="false">
      <c r="A14" s="10" t="s">
        <v>17</v>
      </c>
      <c r="B14" s="11" t="n">
        <f aca="false">COUNTIF(Candidate_Data!$G$2:$G$300,"Yes")</f>
        <v>20</v>
      </c>
      <c r="C14" s="12" t="n">
        <f aca="false">IF($B$11=0,0,B14/$B$11)</f>
        <v>0.2</v>
      </c>
      <c r="D14" s="12" t="n">
        <f aca="false">IF(B13=0,0,1-B14/B13)</f>
        <v>0.545454545454545</v>
      </c>
    </row>
    <row r="15" customFormat="false" ht="15" hidden="false" customHeight="false" outlineLevel="0" collapsed="false">
      <c r="A15" s="10" t="s">
        <v>6</v>
      </c>
      <c r="B15" s="11" t="n">
        <f aca="false">COUNTIF(Candidate_Data!$H$2:$H$300,"Yes")</f>
        <v>16</v>
      </c>
      <c r="C15" s="12" t="n">
        <f aca="false">IF($B$11=0,0,B15/$B$11)</f>
        <v>0.16</v>
      </c>
      <c r="D15" s="12" t="n">
        <f aca="false">IF(B14=0,0,1-B15/B14)</f>
        <v>0.2</v>
      </c>
    </row>
    <row r="17" customFormat="false" ht="15" hidden="false" customHeight="false" outlineLevel="0" collapsed="false">
      <c r="A17" s="8" t="s">
        <v>18</v>
      </c>
      <c r="B17" s="8"/>
      <c r="C17" s="8"/>
      <c r="D17" s="8"/>
      <c r="E17" s="8"/>
      <c r="F17" s="8"/>
      <c r="G17" s="8"/>
      <c r="H17" s="8"/>
    </row>
    <row r="18" customFormat="false" ht="30" hidden="false" customHeight="true" outlineLevel="0" collapsed="false">
      <c r="A18" s="9" t="s">
        <v>19</v>
      </c>
      <c r="B18" s="9" t="s">
        <v>20</v>
      </c>
      <c r="C18" s="9" t="s">
        <v>3</v>
      </c>
      <c r="D18" s="9" t="s">
        <v>4</v>
      </c>
      <c r="E18" s="9" t="s">
        <v>21</v>
      </c>
      <c r="F18" s="9" t="s">
        <v>6</v>
      </c>
      <c r="G18" s="9" t="s">
        <v>22</v>
      </c>
      <c r="H18" s="9" t="s">
        <v>8</v>
      </c>
    </row>
    <row r="19" customFormat="false" ht="15" hidden="false" customHeight="false" outlineLevel="0" collapsed="false">
      <c r="A19" s="10" t="s">
        <v>23</v>
      </c>
      <c r="B19" s="11" t="n">
        <f aca="false">COUNTIF(Candidate_Data!$C$2:$C$300,$A19)</f>
        <v>32</v>
      </c>
      <c r="C19" s="11" t="n">
        <f aca="false">COUNTIFS(Candidate_Data!$C$2:$C$300,$A19,Candidate_Data!$E$2:$E$300,"Yes")</f>
        <v>20</v>
      </c>
      <c r="D19" s="11" t="n">
        <f aca="false">COUNTIFS(Candidate_Data!$C$2:$C$300,$A19,Candidate_Data!$F$2:$F$300,"Yes")</f>
        <v>14</v>
      </c>
      <c r="E19" s="11" t="n">
        <f aca="false">COUNTIFS(Candidate_Data!$C$2:$C$300,$A19,Candidate_Data!$G$2:$G$300,"Yes")</f>
        <v>6</v>
      </c>
      <c r="F19" s="11" t="n">
        <f aca="false">COUNTIFS(Candidate_Data!$C$2:$C$300,$A19,Candidate_Data!$H$2:$H$300,"Yes")</f>
        <v>4</v>
      </c>
      <c r="G19" s="12" t="n">
        <f aca="false">IF(B19=0,0,F19/B19)</f>
        <v>0.125</v>
      </c>
      <c r="H19" s="13" t="n">
        <f aca="false">IFERROR(AVERAGEIFS(Candidate_Data!$J$2:$J$300,Candidate_Data!$C$2:$C$300,$A19),"")</f>
        <v>34.75</v>
      </c>
    </row>
    <row r="20" customFormat="false" ht="15" hidden="false" customHeight="false" outlineLevel="0" collapsed="false">
      <c r="A20" s="10" t="s">
        <v>24</v>
      </c>
      <c r="B20" s="11" t="n">
        <f aca="false">COUNTIF(Candidate_Data!$C$2:$C$300,$A20)</f>
        <v>24</v>
      </c>
      <c r="C20" s="11" t="n">
        <f aca="false">COUNTIFS(Candidate_Data!$C$2:$C$300,$A20,Candidate_Data!$E$2:$E$300,"Yes")</f>
        <v>12</v>
      </c>
      <c r="D20" s="11" t="n">
        <f aca="false">COUNTIFS(Candidate_Data!$C$2:$C$300,$A20,Candidate_Data!$F$2:$F$300,"Yes")</f>
        <v>8</v>
      </c>
      <c r="E20" s="11" t="n">
        <f aca="false">COUNTIFS(Candidate_Data!$C$2:$C$300,$A20,Candidate_Data!$G$2:$G$300,"Yes")</f>
        <v>4</v>
      </c>
      <c r="F20" s="11" t="n">
        <f aca="false">COUNTIFS(Candidate_Data!$C$2:$C$300,$A20,Candidate_Data!$H$2:$H$300,"Yes")</f>
        <v>2</v>
      </c>
      <c r="G20" s="12" t="n">
        <f aca="false">IF(B20=0,0,F20/B20)</f>
        <v>0.0833333333333333</v>
      </c>
      <c r="H20" s="13" t="n">
        <f aca="false">IFERROR(AVERAGEIFS(Candidate_Data!$J$2:$J$300,Candidate_Data!$C$2:$C$300,$A20),"")</f>
        <v>32</v>
      </c>
    </row>
    <row r="21" customFormat="false" ht="15" hidden="false" customHeight="false" outlineLevel="0" collapsed="false">
      <c r="A21" s="10" t="s">
        <v>25</v>
      </c>
      <c r="B21" s="11" t="n">
        <f aca="false">COUNTIF(Candidate_Data!$C$2:$C$300,$A21)</f>
        <v>16</v>
      </c>
      <c r="C21" s="11" t="n">
        <f aca="false">COUNTIFS(Candidate_Data!$C$2:$C$300,$A21,Candidate_Data!$E$2:$E$300,"Yes")</f>
        <v>8</v>
      </c>
      <c r="D21" s="11" t="n">
        <f aca="false">COUNTIFS(Candidate_Data!$C$2:$C$300,$A21,Candidate_Data!$F$2:$F$300,"Yes")</f>
        <v>7</v>
      </c>
      <c r="E21" s="11" t="n">
        <f aca="false">COUNTIFS(Candidate_Data!$C$2:$C$300,$A21,Candidate_Data!$G$2:$G$300,"Yes")</f>
        <v>3</v>
      </c>
      <c r="F21" s="11" t="n">
        <f aca="false">COUNTIFS(Candidate_Data!$C$2:$C$300,$A21,Candidate_Data!$H$2:$H$300,"Yes")</f>
        <v>3</v>
      </c>
      <c r="G21" s="12" t="n">
        <f aca="false">IF(B21=0,0,F21/B21)</f>
        <v>0.1875</v>
      </c>
      <c r="H21" s="13" t="n">
        <f aca="false">IFERROR(AVERAGEIFS(Candidate_Data!$J$2:$J$300,Candidate_Data!$C$2:$C$300,$A21),"")</f>
        <v>35</v>
      </c>
    </row>
    <row r="22" customFormat="false" ht="15" hidden="false" customHeight="false" outlineLevel="0" collapsed="false">
      <c r="A22" s="10" t="s">
        <v>26</v>
      </c>
      <c r="B22" s="11" t="n">
        <f aca="false">COUNTIF(Candidate_Data!$C$2:$C$300,$A22)</f>
        <v>14</v>
      </c>
      <c r="C22" s="11" t="n">
        <f aca="false">COUNTIFS(Candidate_Data!$C$2:$C$300,$A22,Candidate_Data!$E$2:$E$300,"Yes")</f>
        <v>12</v>
      </c>
      <c r="D22" s="11" t="n">
        <f aca="false">COUNTIFS(Candidate_Data!$C$2:$C$300,$A22,Candidate_Data!$F$2:$F$300,"Yes")</f>
        <v>9</v>
      </c>
      <c r="E22" s="11" t="n">
        <f aca="false">COUNTIFS(Candidate_Data!$C$2:$C$300,$A22,Candidate_Data!$G$2:$G$300,"Yes")</f>
        <v>6</v>
      </c>
      <c r="F22" s="11" t="n">
        <f aca="false">COUNTIFS(Candidate_Data!$C$2:$C$300,$A22,Candidate_Data!$H$2:$H$300,"Yes")</f>
        <v>6</v>
      </c>
      <c r="G22" s="12" t="n">
        <f aca="false">IF(B22=0,0,F22/B22)</f>
        <v>0.428571428571429</v>
      </c>
      <c r="H22" s="13" t="n">
        <f aca="false">IFERROR(AVERAGEIFS(Candidate_Data!$J$2:$J$300,Candidate_Data!$C$2:$C$300,$A22),"")</f>
        <v>17.1666666666667</v>
      </c>
    </row>
    <row r="23" customFormat="false" ht="15" hidden="false" customHeight="false" outlineLevel="0" collapsed="false">
      <c r="A23" s="10" t="s">
        <v>27</v>
      </c>
      <c r="B23" s="11" t="n">
        <f aca="false">COUNTIF(Candidate_Data!$C$2:$C$300,$A23)</f>
        <v>14</v>
      </c>
      <c r="C23" s="11" t="n">
        <f aca="false">COUNTIFS(Candidate_Data!$C$2:$C$300,$A23,Candidate_Data!$E$2:$E$300,"Yes")</f>
        <v>10</v>
      </c>
      <c r="D23" s="11" t="n">
        <f aca="false">COUNTIFS(Candidate_Data!$C$2:$C$300,$A23,Candidate_Data!$F$2:$F$300,"Yes")</f>
        <v>6</v>
      </c>
      <c r="E23" s="11" t="n">
        <f aca="false">COUNTIFS(Candidate_Data!$C$2:$C$300,$A23,Candidate_Data!$G$2:$G$300,"Yes")</f>
        <v>1</v>
      </c>
      <c r="F23" s="11" t="n">
        <f aca="false">COUNTIFS(Candidate_Data!$C$2:$C$300,$A23,Candidate_Data!$H$2:$H$300,"Yes")</f>
        <v>1</v>
      </c>
      <c r="G23" s="12" t="n">
        <f aca="false">IF(B23=0,0,F23/B23)</f>
        <v>0.0714285714285714</v>
      </c>
      <c r="H23" s="13" t="n">
        <f aca="false">IFERROR(AVERAGEIFS(Candidate_Data!$J$2:$J$300,Candidate_Data!$C$2:$C$300,$A23),"")</f>
        <v>27</v>
      </c>
    </row>
    <row r="24" customFormat="false" ht="15" hidden="false" customHeight="false" outlineLevel="0" collapsed="false">
      <c r="A24" s="14" t="s">
        <v>28</v>
      </c>
      <c r="B24" s="15" t="n">
        <f aca="false">SUM(B19:B23)</f>
        <v>100</v>
      </c>
      <c r="C24" s="15" t="n">
        <f aca="false">SUM(C19:C23)</f>
        <v>62</v>
      </c>
      <c r="D24" s="15" t="n">
        <f aca="false">SUM(D19:D23)</f>
        <v>44</v>
      </c>
      <c r="E24" s="15" t="n">
        <f aca="false">SUM(E19:E23)</f>
        <v>20</v>
      </c>
      <c r="F24" s="15" t="n">
        <f aca="false">SUM(F19:F23)</f>
        <v>16</v>
      </c>
      <c r="G24" s="16" t="n">
        <f aca="false">IF(B24=0,0,F24/B24)</f>
        <v>0.16</v>
      </c>
      <c r="H24" s="17" t="n">
        <f aca="false">IFERROR(AVERAGE(Candidate_Data!$J$2:$J$300),"")</f>
        <v>27.375</v>
      </c>
    </row>
    <row r="26" customFormat="false" ht="15" hidden="false" customHeight="false" outlineLevel="0" collapsed="false">
      <c r="A26" s="8" t="s">
        <v>29</v>
      </c>
      <c r="B26" s="8"/>
      <c r="C26" s="8"/>
      <c r="D26" s="8"/>
      <c r="E26" s="8"/>
      <c r="F26" s="8"/>
      <c r="G26" s="8"/>
      <c r="H26" s="8"/>
    </row>
    <row r="27" customFormat="false" ht="30" hidden="false" customHeight="true" outlineLevel="0" collapsed="false">
      <c r="A27" s="9" t="s">
        <v>30</v>
      </c>
      <c r="B27" s="9" t="s">
        <v>20</v>
      </c>
      <c r="C27" s="9" t="s">
        <v>3</v>
      </c>
      <c r="D27" s="9" t="s">
        <v>4</v>
      </c>
      <c r="E27" s="9" t="s">
        <v>21</v>
      </c>
      <c r="F27" s="9" t="s">
        <v>6</v>
      </c>
      <c r="G27" s="9" t="s">
        <v>22</v>
      </c>
      <c r="H27" s="9" t="s">
        <v>8</v>
      </c>
    </row>
    <row r="28" customFormat="false" ht="15" hidden="false" customHeight="false" outlineLevel="0" collapsed="false">
      <c r="A28" s="10" t="s">
        <v>31</v>
      </c>
      <c r="B28" s="11" t="n">
        <f aca="false">COUNTIF(Candidate_Data!$B$2:$B$300,$A28)</f>
        <v>32</v>
      </c>
      <c r="C28" s="11" t="n">
        <f aca="false">COUNTIFS(Candidate_Data!$B$2:$B$300,$A28,Candidate_Data!$E$2:$E$300,"Yes")</f>
        <v>23</v>
      </c>
      <c r="D28" s="11" t="n">
        <f aca="false">COUNTIFS(Candidate_Data!$B$2:$B$300,$A28,Candidate_Data!$F$2:$F$300,"Yes")</f>
        <v>18</v>
      </c>
      <c r="E28" s="11" t="n">
        <f aca="false">COUNTIFS(Candidate_Data!$B$2:$B$300,$A28,Candidate_Data!$G$2:$G$300,"Yes")</f>
        <v>11</v>
      </c>
      <c r="F28" s="11" t="n">
        <f aca="false">COUNTIFS(Candidate_Data!$B$2:$B$300,$A28,Candidate_Data!$H$2:$H$300,"Yes")</f>
        <v>8</v>
      </c>
      <c r="G28" s="12" t="n">
        <f aca="false">IF(B28=0,0,F28/B28)</f>
        <v>0.25</v>
      </c>
      <c r="H28" s="13" t="n">
        <f aca="false">IFERROR(AVERAGEIFS(Candidate_Data!$J$2:$J$300,Candidate_Data!$B$2:$B$300,$A28),"")</f>
        <v>30.75</v>
      </c>
    </row>
    <row r="29" customFormat="false" ht="15" hidden="false" customHeight="false" outlineLevel="0" collapsed="false">
      <c r="A29" s="10" t="s">
        <v>32</v>
      </c>
      <c r="B29" s="11" t="n">
        <f aca="false">COUNTIF(Candidate_Data!$B$2:$B$300,$A29)</f>
        <v>15</v>
      </c>
      <c r="C29" s="11" t="n">
        <f aca="false">COUNTIFS(Candidate_Data!$B$2:$B$300,$A29,Candidate_Data!$E$2:$E$300,"Yes")</f>
        <v>9</v>
      </c>
      <c r="D29" s="11" t="n">
        <f aca="false">COUNTIFS(Candidate_Data!$B$2:$B$300,$A29,Candidate_Data!$F$2:$F$300,"Yes")</f>
        <v>9</v>
      </c>
      <c r="E29" s="11" t="n">
        <f aca="false">COUNTIFS(Candidate_Data!$B$2:$B$300,$A29,Candidate_Data!$G$2:$G$300,"Yes")</f>
        <v>2</v>
      </c>
      <c r="F29" s="11" t="n">
        <f aca="false">COUNTIFS(Candidate_Data!$B$2:$B$300,$A29,Candidate_Data!$H$2:$H$300,"Yes")</f>
        <v>2</v>
      </c>
      <c r="G29" s="12" t="n">
        <f aca="false">IF(B29=0,0,F29/B29)</f>
        <v>0.133333333333333</v>
      </c>
      <c r="H29" s="13" t="n">
        <f aca="false">IFERROR(AVERAGEIFS(Candidate_Data!$J$2:$J$300,Candidate_Data!$B$2:$B$300,$A29),"")</f>
        <v>21.5</v>
      </c>
    </row>
    <row r="30" customFormat="false" ht="15" hidden="false" customHeight="false" outlineLevel="0" collapsed="false">
      <c r="A30" s="10" t="s">
        <v>33</v>
      </c>
      <c r="B30" s="11" t="n">
        <f aca="false">COUNTIF(Candidate_Data!$B$2:$B$300,$A30)</f>
        <v>32</v>
      </c>
      <c r="C30" s="11" t="n">
        <f aca="false">COUNTIFS(Candidate_Data!$B$2:$B$300,$A30,Candidate_Data!$E$2:$E$300,"Yes")</f>
        <v>17</v>
      </c>
      <c r="D30" s="11" t="n">
        <f aca="false">COUNTIFS(Candidate_Data!$B$2:$B$300,$A30,Candidate_Data!$F$2:$F$300,"Yes")</f>
        <v>11</v>
      </c>
      <c r="E30" s="11" t="n">
        <f aca="false">COUNTIFS(Candidate_Data!$B$2:$B$300,$A30,Candidate_Data!$G$2:$G$300,"Yes")</f>
        <v>6</v>
      </c>
      <c r="F30" s="11" t="n">
        <f aca="false">COUNTIFS(Candidate_Data!$B$2:$B$300,$A30,Candidate_Data!$H$2:$H$300,"Yes")</f>
        <v>5</v>
      </c>
      <c r="G30" s="12" t="n">
        <f aca="false">IF(B30=0,0,F30/B30)</f>
        <v>0.15625</v>
      </c>
      <c r="H30" s="13" t="n">
        <f aca="false">IFERROR(AVERAGEIFS(Candidate_Data!$J$2:$J$300,Candidate_Data!$B$2:$B$300,$A30),"")</f>
        <v>25</v>
      </c>
    </row>
    <row r="31" customFormat="false" ht="15" hidden="false" customHeight="false" outlineLevel="0" collapsed="false">
      <c r="A31" s="10" t="s">
        <v>34</v>
      </c>
      <c r="B31" s="11" t="n">
        <f aca="false">COUNTIF(Candidate_Data!$B$2:$B$300,$A31)</f>
        <v>21</v>
      </c>
      <c r="C31" s="11" t="n">
        <f aca="false">COUNTIFS(Candidate_Data!$B$2:$B$300,$A31,Candidate_Data!$E$2:$E$300,"Yes")</f>
        <v>13</v>
      </c>
      <c r="D31" s="11" t="n">
        <f aca="false">COUNTIFS(Candidate_Data!$B$2:$B$300,$A31,Candidate_Data!$F$2:$F$300,"Yes")</f>
        <v>6</v>
      </c>
      <c r="E31" s="11" t="n">
        <f aca="false">COUNTIFS(Candidate_Data!$B$2:$B$300,$A31,Candidate_Data!$G$2:$G$300,"Yes")</f>
        <v>1</v>
      </c>
      <c r="F31" s="11" t="n">
        <f aca="false">COUNTIFS(Candidate_Data!$B$2:$B$300,$A31,Candidate_Data!$H$2:$H$300,"Yes")</f>
        <v>1</v>
      </c>
      <c r="G31" s="12" t="n">
        <f aca="false">IF(B31=0,0,F31/B31)</f>
        <v>0.0476190476190476</v>
      </c>
      <c r="H31" s="13" t="n">
        <f aca="false">IFERROR(AVERAGEIFS(Candidate_Data!$J$2:$J$300,Candidate_Data!$B$2:$B$300,$A31),"")</f>
        <v>24</v>
      </c>
    </row>
    <row r="32" customFormat="false" ht="15" hidden="false" customHeight="false" outlineLevel="0" collapsed="false">
      <c r="A32" s="14" t="s">
        <v>28</v>
      </c>
      <c r="B32" s="15" t="n">
        <f aca="false">SUM(B28:B31)</f>
        <v>100</v>
      </c>
      <c r="C32" s="15" t="n">
        <f aca="false">SUM(C28:C31)</f>
        <v>62</v>
      </c>
      <c r="D32" s="15" t="n">
        <f aca="false">SUM(D28:D31)</f>
        <v>44</v>
      </c>
      <c r="E32" s="15" t="n">
        <f aca="false">SUM(E28:E31)</f>
        <v>20</v>
      </c>
      <c r="F32" s="15" t="n">
        <f aca="false">SUM(F28:F31)</f>
        <v>16</v>
      </c>
      <c r="G32" s="16" t="n">
        <f aca="false">IF(B32=0,0,F32/B32)</f>
        <v>0.16</v>
      </c>
      <c r="H32" s="17" t="n">
        <f aca="false">IFERROR(AVERAGE(Candidate_Data!$J$2:$J$300),"")</f>
        <v>27.375</v>
      </c>
    </row>
    <row r="34" customFormat="false" ht="15" hidden="false" customHeight="false" outlineLevel="0" collapsed="false">
      <c r="A34" s="8" t="s">
        <v>35</v>
      </c>
      <c r="B34" s="8"/>
      <c r="C34" s="8"/>
      <c r="D34" s="8"/>
      <c r="E34" s="8"/>
      <c r="F34" s="8"/>
      <c r="G34" s="8"/>
      <c r="H34" s="8"/>
    </row>
    <row r="35" customFormat="false" ht="21.75" hidden="false" customHeight="true" outlineLevel="0" collapsed="false">
      <c r="A35" s="18" t="str">
        <f aca="false">"Best-converting source: "&amp;INDEX($A$19:$A$23,MATCH(MAX($G$19:$G$23),$G$19:$G$23,0))&amp;" - "&amp;TEXT(MAX($G$19:$G$23),"0%")&amp;" of its applicants joined."</f>
        <v>Best-converting source: Employee Referral - 43% of its applicants joined.</v>
      </c>
      <c r="B35" s="18"/>
      <c r="C35" s="18"/>
      <c r="D35" s="18"/>
      <c r="E35" s="18"/>
      <c r="F35" s="18"/>
      <c r="G35" s="18"/>
      <c r="H35" s="18"/>
    </row>
    <row r="36" customFormat="false" ht="21.75" hidden="false" customHeight="true" outlineLevel="0" collapsed="false">
      <c r="A36" s="18" t="str">
        <f aca="false">"Highest-volume source: "&amp;INDEX($A$19:$A$23,MATCH(MAX($B$19:$B$23),$B$19:$B$23,0))&amp;" with "&amp;MAX($B$19:$B$23)&amp;" applicants, but only "&amp;TEXT(INDEX($G$19:$G$23,MATCH(MAX($B$19:$B$23),$B$19:$B$23,0)),"0%")&amp;" joined."</f>
        <v>Highest-volume source: LinkedIn with 32 applicants, but only 13% joined.</v>
      </c>
      <c r="B36" s="18"/>
      <c r="C36" s="18"/>
      <c r="D36" s="18"/>
      <c r="E36" s="18"/>
      <c r="F36" s="18"/>
      <c r="G36" s="18"/>
      <c r="H36" s="18"/>
    </row>
    <row r="37" customFormat="false" ht="21.75" hidden="false" customHeight="true" outlineLevel="0" collapsed="false">
      <c r="A37" s="18" t="str">
        <f aca="false">"Fastest source to hire: "&amp;INDEX($A$19:$A$23,MATCH(MIN($H$19:$H$23),$H$19:$H$23,0))&amp;" at "&amp;TEXT(MIN($H$19:$H$23),"0.0")&amp;" days on average vs "&amp;TEXT($H$24,"0.0")&amp;" overall."</f>
        <v>Fastest source to hire: Employee Referral at 17.2 days on average vs 27.4 overall.</v>
      </c>
      <c r="B37" s="18"/>
      <c r="C37" s="18"/>
      <c r="D37" s="18"/>
      <c r="E37" s="18"/>
      <c r="F37" s="18"/>
      <c r="G37" s="18"/>
      <c r="H37" s="18"/>
    </row>
    <row r="38" customFormat="false" ht="21.75" hidden="false" customHeight="true" outlineLevel="0" collapsed="false">
      <c r="A38" s="18" t="str">
        <f aca="false">"Biggest funnel drop-off: at the "&amp;INDEX($A$12:$A$15,MATCH(MAX($D$12:$D$15),$D$12:$D$15,0))&amp;" stage ("&amp;TEXT(MAX($D$12:$D$15),"0%")&amp;" of candidates lost from the previous stage)."</f>
        <v>Biggest funnel drop-off: at the Offer Made stage (55% of candidates lost from the previous stage).</v>
      </c>
      <c r="B38" s="18"/>
      <c r="C38" s="18"/>
      <c r="D38" s="18"/>
      <c r="E38" s="18"/>
      <c r="F38" s="18"/>
      <c r="G38" s="18"/>
      <c r="H38" s="18"/>
    </row>
    <row r="39" customFormat="false" ht="21.75" hidden="false" customHeight="true" outlineLevel="0" collapsed="false">
      <c r="A39" s="18" t="str">
        <f aca="false">"Offer acceptance rate is "&amp;TEXT($F$5,"0%")&amp;" - "&amp;($B$14-$B$15)&amp;" offers did not convert into joinings."</f>
        <v>Offer acceptance rate is 80% - 4 offers did not convert into joinings.</v>
      </c>
      <c r="B39" s="18"/>
      <c r="C39" s="18"/>
      <c r="D39" s="18"/>
      <c r="E39" s="18"/>
      <c r="F39" s="18"/>
      <c r="G39" s="18"/>
      <c r="H39" s="18"/>
    </row>
    <row r="41" customFormat="false" ht="30" hidden="false" customHeight="true" outlineLevel="0" collapsed="false">
      <c r="A41" s="19" t="s">
        <v>36</v>
      </c>
      <c r="B41" s="19"/>
      <c r="C41" s="19"/>
      <c r="D41" s="19"/>
      <c r="E41" s="19"/>
      <c r="F41" s="19"/>
      <c r="G41" s="19"/>
      <c r="H41" s="19"/>
    </row>
  </sheetData>
  <mergeCells count="12">
    <mergeCell ref="A1:H1"/>
    <mergeCell ref="A2:H2"/>
    <mergeCell ref="A9:H9"/>
    <mergeCell ref="A17:H17"/>
    <mergeCell ref="A26:H26"/>
    <mergeCell ref="A34:H34"/>
    <mergeCell ref="A35:H35"/>
    <mergeCell ref="A36:H36"/>
    <mergeCell ref="A37:H37"/>
    <mergeCell ref="A38:H38"/>
    <mergeCell ref="A39:H39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9" t="s">
        <v>37</v>
      </c>
      <c r="B1" s="9" t="s">
        <v>30</v>
      </c>
      <c r="C1" s="9" t="s">
        <v>19</v>
      </c>
      <c r="D1" s="9" t="s">
        <v>38</v>
      </c>
      <c r="E1" s="9" t="s">
        <v>3</v>
      </c>
      <c r="F1" s="9" t="s">
        <v>4</v>
      </c>
      <c r="G1" s="9" t="s">
        <v>17</v>
      </c>
      <c r="H1" s="9" t="s">
        <v>6</v>
      </c>
      <c r="I1" s="9" t="s">
        <v>39</v>
      </c>
      <c r="J1" s="9" t="s">
        <v>40</v>
      </c>
      <c r="K1" s="9" t="s">
        <v>41</v>
      </c>
    </row>
    <row r="2" customFormat="false" ht="15" hidden="false" customHeight="false" outlineLevel="0" collapsed="false">
      <c r="A2" s="20" t="s">
        <v>42</v>
      </c>
      <c r="B2" s="20" t="s">
        <v>34</v>
      </c>
      <c r="C2" s="20" t="s">
        <v>23</v>
      </c>
      <c r="D2" s="21" t="n">
        <v>46176</v>
      </c>
      <c r="E2" s="22" t="s">
        <v>43</v>
      </c>
      <c r="F2" s="22" t="s">
        <v>44</v>
      </c>
      <c r="G2" s="22" t="s">
        <v>44</v>
      </c>
      <c r="H2" s="22" t="s">
        <v>44</v>
      </c>
      <c r="I2" s="21"/>
      <c r="J2" s="23" t="str">
        <f aca="false">IF(A2="","",IF(AND(H2="Yes",I2&lt;&gt;""),I2-D2,""))</f>
        <v/>
      </c>
      <c r="K2" s="24" t="str">
        <f aca="false">IF(A2="","",IF(H2="Yes","Joined",IF(G2="Yes","Offer Declined",IF(F2="Yes","Rejected after Interview",IF(E2="Yes","Not Selected for Interview","Rejected at Screening")))))</f>
        <v>Not Selected for Interview</v>
      </c>
    </row>
    <row r="3" customFormat="false" ht="15" hidden="false" customHeight="false" outlineLevel="0" collapsed="false">
      <c r="A3" s="20" t="s">
        <v>45</v>
      </c>
      <c r="B3" s="20" t="s">
        <v>33</v>
      </c>
      <c r="C3" s="20" t="s">
        <v>24</v>
      </c>
      <c r="D3" s="21" t="n">
        <v>46177</v>
      </c>
      <c r="E3" s="22" t="s">
        <v>43</v>
      </c>
      <c r="F3" s="22" t="s">
        <v>44</v>
      </c>
      <c r="G3" s="22" t="s">
        <v>44</v>
      </c>
      <c r="H3" s="22" t="s">
        <v>44</v>
      </c>
      <c r="I3" s="21"/>
      <c r="J3" s="23" t="str">
        <f aca="false">IF(A3="","",IF(AND(H3="Yes",I3&lt;&gt;""),I3-D3,""))</f>
        <v/>
      </c>
      <c r="K3" s="24" t="str">
        <f aca="false">IF(A3="","",IF(H3="Yes","Joined",IF(G3="Yes","Offer Declined",IF(F3="Yes","Rejected after Interview",IF(E3="Yes","Not Selected for Interview","Rejected at Screening")))))</f>
        <v>Not Selected for Interview</v>
      </c>
    </row>
    <row r="4" customFormat="false" ht="15" hidden="false" customHeight="false" outlineLevel="0" collapsed="false">
      <c r="A4" s="20" t="s">
        <v>46</v>
      </c>
      <c r="B4" s="20" t="s">
        <v>33</v>
      </c>
      <c r="C4" s="20" t="s">
        <v>24</v>
      </c>
      <c r="D4" s="21" t="n">
        <v>46177</v>
      </c>
      <c r="E4" s="22" t="s">
        <v>44</v>
      </c>
      <c r="F4" s="22" t="s">
        <v>44</v>
      </c>
      <c r="G4" s="22" t="s">
        <v>44</v>
      </c>
      <c r="H4" s="22" t="s">
        <v>44</v>
      </c>
      <c r="I4" s="21"/>
      <c r="J4" s="23" t="str">
        <f aca="false">IF(A4="","",IF(AND(H4="Yes",I4&lt;&gt;""),I4-D4,""))</f>
        <v/>
      </c>
      <c r="K4" s="24" t="str">
        <f aca="false">IF(A4="","",IF(H4="Yes","Joined",IF(G4="Yes","Offer Declined",IF(F4="Yes","Rejected after Interview",IF(E4="Yes","Not Selected for Interview","Rejected at Screening")))))</f>
        <v>Rejected at Screening</v>
      </c>
    </row>
    <row r="5" customFormat="false" ht="15" hidden="false" customHeight="false" outlineLevel="0" collapsed="false">
      <c r="A5" s="20" t="s">
        <v>47</v>
      </c>
      <c r="B5" s="20" t="s">
        <v>32</v>
      </c>
      <c r="C5" s="20" t="s">
        <v>23</v>
      </c>
      <c r="D5" s="21" t="n">
        <v>46180</v>
      </c>
      <c r="E5" s="22" t="s">
        <v>44</v>
      </c>
      <c r="F5" s="22" t="s">
        <v>44</v>
      </c>
      <c r="G5" s="22" t="s">
        <v>44</v>
      </c>
      <c r="H5" s="22" t="s">
        <v>44</v>
      </c>
      <c r="I5" s="21"/>
      <c r="J5" s="23" t="str">
        <f aca="false">IF(A5="","",IF(AND(H5="Yes",I5&lt;&gt;""),I5-D5,""))</f>
        <v/>
      </c>
      <c r="K5" s="24" t="str">
        <f aca="false">IF(A5="","",IF(H5="Yes","Joined",IF(G5="Yes","Offer Declined",IF(F5="Yes","Rejected after Interview",IF(E5="Yes","Not Selected for Interview","Rejected at Screening")))))</f>
        <v>Rejected at Screening</v>
      </c>
    </row>
    <row r="6" customFormat="false" ht="15" hidden="false" customHeight="false" outlineLevel="0" collapsed="false">
      <c r="A6" s="20" t="s">
        <v>48</v>
      </c>
      <c r="B6" s="20" t="s">
        <v>34</v>
      </c>
      <c r="C6" s="20" t="s">
        <v>27</v>
      </c>
      <c r="D6" s="21" t="n">
        <v>46180</v>
      </c>
      <c r="E6" s="22" t="s">
        <v>43</v>
      </c>
      <c r="F6" s="22" t="s">
        <v>44</v>
      </c>
      <c r="G6" s="22" t="s">
        <v>44</v>
      </c>
      <c r="H6" s="22" t="s">
        <v>44</v>
      </c>
      <c r="I6" s="21"/>
      <c r="J6" s="23" t="str">
        <f aca="false">IF(A6="","",IF(AND(H6="Yes",I6&lt;&gt;""),I6-D6,""))</f>
        <v/>
      </c>
      <c r="K6" s="24" t="str">
        <f aca="false">IF(A6="","",IF(H6="Yes","Joined",IF(G6="Yes","Offer Declined",IF(F6="Yes","Rejected after Interview",IF(E6="Yes","Not Selected for Interview","Rejected at Screening")))))</f>
        <v>Not Selected for Interview</v>
      </c>
    </row>
    <row r="7" customFormat="false" ht="15" hidden="false" customHeight="false" outlineLevel="0" collapsed="false">
      <c r="A7" s="20" t="s">
        <v>49</v>
      </c>
      <c r="B7" s="20" t="s">
        <v>31</v>
      </c>
      <c r="C7" s="20" t="s">
        <v>23</v>
      </c>
      <c r="D7" s="21" t="n">
        <v>46181</v>
      </c>
      <c r="E7" s="22" t="s">
        <v>43</v>
      </c>
      <c r="F7" s="22" t="s">
        <v>43</v>
      </c>
      <c r="G7" s="22" t="s">
        <v>43</v>
      </c>
      <c r="H7" s="22" t="s">
        <v>43</v>
      </c>
      <c r="I7" s="21" t="n">
        <v>46217</v>
      </c>
      <c r="J7" s="23" t="n">
        <f aca="false">IF(A7="","",IF(AND(H7="Yes",I7&lt;&gt;""),I7-D7,""))</f>
        <v>36</v>
      </c>
      <c r="K7" s="24" t="str">
        <f aca="false">IF(A7="","",IF(H7="Yes","Joined",IF(G7="Yes","Offer Declined",IF(F7="Yes","Rejected after Interview",IF(E7="Yes","Not Selected for Interview","Rejected at Screening")))))</f>
        <v>Joined</v>
      </c>
    </row>
    <row r="8" customFormat="false" ht="15" hidden="false" customHeight="false" outlineLevel="0" collapsed="false">
      <c r="A8" s="20" t="s">
        <v>50</v>
      </c>
      <c r="B8" s="20" t="s">
        <v>34</v>
      </c>
      <c r="C8" s="20" t="s">
        <v>23</v>
      </c>
      <c r="D8" s="21" t="n">
        <v>46182</v>
      </c>
      <c r="E8" s="22" t="s">
        <v>43</v>
      </c>
      <c r="F8" s="22" t="s">
        <v>43</v>
      </c>
      <c r="G8" s="22" t="s">
        <v>44</v>
      </c>
      <c r="H8" s="22" t="s">
        <v>44</v>
      </c>
      <c r="I8" s="21"/>
      <c r="J8" s="23" t="str">
        <f aca="false">IF(A8="","",IF(AND(H8="Yes",I8&lt;&gt;""),I8-D8,""))</f>
        <v/>
      </c>
      <c r="K8" s="24" t="str">
        <f aca="false">IF(A8="","",IF(H8="Yes","Joined",IF(G8="Yes","Offer Declined",IF(F8="Yes","Rejected after Interview",IF(E8="Yes","Not Selected for Interview","Rejected at Screening")))))</f>
        <v>Rejected after Interview</v>
      </c>
    </row>
    <row r="9" customFormat="false" ht="15" hidden="false" customHeight="false" outlineLevel="0" collapsed="false">
      <c r="A9" s="20" t="s">
        <v>51</v>
      </c>
      <c r="B9" s="20" t="s">
        <v>34</v>
      </c>
      <c r="C9" s="20" t="s">
        <v>23</v>
      </c>
      <c r="D9" s="21" t="n">
        <v>46183</v>
      </c>
      <c r="E9" s="22" t="s">
        <v>43</v>
      </c>
      <c r="F9" s="22" t="s">
        <v>43</v>
      </c>
      <c r="G9" s="22" t="s">
        <v>44</v>
      </c>
      <c r="H9" s="22" t="s">
        <v>44</v>
      </c>
      <c r="I9" s="21"/>
      <c r="J9" s="23" t="str">
        <f aca="false">IF(A9="","",IF(AND(H9="Yes",I9&lt;&gt;""),I9-D9,""))</f>
        <v/>
      </c>
      <c r="K9" s="24" t="str">
        <f aca="false">IF(A9="","",IF(H9="Yes","Joined",IF(G9="Yes","Offer Declined",IF(F9="Yes","Rejected after Interview",IF(E9="Yes","Not Selected for Interview","Rejected at Screening")))))</f>
        <v>Rejected after Interview</v>
      </c>
    </row>
    <row r="10" customFormat="false" ht="15" hidden="false" customHeight="false" outlineLevel="0" collapsed="false">
      <c r="A10" s="20" t="s">
        <v>52</v>
      </c>
      <c r="B10" s="20" t="s">
        <v>33</v>
      </c>
      <c r="C10" s="20" t="s">
        <v>24</v>
      </c>
      <c r="D10" s="21" t="n">
        <v>46184</v>
      </c>
      <c r="E10" s="22" t="s">
        <v>44</v>
      </c>
      <c r="F10" s="22" t="s">
        <v>44</v>
      </c>
      <c r="G10" s="22" t="s">
        <v>44</v>
      </c>
      <c r="H10" s="22" t="s">
        <v>44</v>
      </c>
      <c r="I10" s="21"/>
      <c r="J10" s="23" t="str">
        <f aca="false">IF(A10="","",IF(AND(H10="Yes",I10&lt;&gt;""),I10-D10,""))</f>
        <v/>
      </c>
      <c r="K10" s="24" t="str">
        <f aca="false">IF(A10="","",IF(H10="Yes","Joined",IF(G10="Yes","Offer Declined",IF(F10="Yes","Rejected after Interview",IF(E10="Yes","Not Selected for Interview","Rejected at Screening")))))</f>
        <v>Rejected at Screening</v>
      </c>
    </row>
    <row r="11" customFormat="false" ht="15" hidden="false" customHeight="false" outlineLevel="0" collapsed="false">
      <c r="A11" s="20" t="s">
        <v>53</v>
      </c>
      <c r="B11" s="20" t="s">
        <v>34</v>
      </c>
      <c r="C11" s="20" t="s">
        <v>24</v>
      </c>
      <c r="D11" s="21" t="n">
        <v>46185</v>
      </c>
      <c r="E11" s="22" t="s">
        <v>43</v>
      </c>
      <c r="F11" s="22" t="s">
        <v>44</v>
      </c>
      <c r="G11" s="22" t="s">
        <v>44</v>
      </c>
      <c r="H11" s="22" t="s">
        <v>44</v>
      </c>
      <c r="I11" s="21"/>
      <c r="J11" s="23" t="str">
        <f aca="false">IF(A11="","",IF(AND(H11="Yes",I11&lt;&gt;""),I11-D11,""))</f>
        <v/>
      </c>
      <c r="K11" s="24" t="str">
        <f aca="false">IF(A11="","",IF(H11="Yes","Joined",IF(G11="Yes","Offer Declined",IF(F11="Yes","Rejected after Interview",IF(E11="Yes","Not Selected for Interview","Rejected at Screening")))))</f>
        <v>Not Selected for Interview</v>
      </c>
    </row>
    <row r="12" customFormat="false" ht="15" hidden="false" customHeight="false" outlineLevel="0" collapsed="false">
      <c r="A12" s="20" t="s">
        <v>54</v>
      </c>
      <c r="B12" s="20" t="s">
        <v>33</v>
      </c>
      <c r="C12" s="20" t="s">
        <v>24</v>
      </c>
      <c r="D12" s="21" t="n">
        <v>46185</v>
      </c>
      <c r="E12" s="22" t="s">
        <v>43</v>
      </c>
      <c r="F12" s="22" t="s">
        <v>44</v>
      </c>
      <c r="G12" s="22" t="s">
        <v>44</v>
      </c>
      <c r="H12" s="22" t="s">
        <v>44</v>
      </c>
      <c r="I12" s="21"/>
      <c r="J12" s="23" t="str">
        <f aca="false">IF(A12="","",IF(AND(H12="Yes",I12&lt;&gt;""),I12-D12,""))</f>
        <v/>
      </c>
      <c r="K12" s="24" t="str">
        <f aca="false">IF(A12="","",IF(H12="Yes","Joined",IF(G12="Yes","Offer Declined",IF(F12="Yes","Rejected after Interview",IF(E12="Yes","Not Selected for Interview","Rejected at Screening")))))</f>
        <v>Not Selected for Interview</v>
      </c>
    </row>
    <row r="13" customFormat="false" ht="15" hidden="false" customHeight="false" outlineLevel="0" collapsed="false">
      <c r="A13" s="20" t="s">
        <v>55</v>
      </c>
      <c r="B13" s="20" t="s">
        <v>32</v>
      </c>
      <c r="C13" s="20" t="s">
        <v>26</v>
      </c>
      <c r="D13" s="21" t="n">
        <v>46186</v>
      </c>
      <c r="E13" s="22" t="s">
        <v>43</v>
      </c>
      <c r="F13" s="22" t="s">
        <v>43</v>
      </c>
      <c r="G13" s="22" t="s">
        <v>44</v>
      </c>
      <c r="H13" s="22" t="s">
        <v>44</v>
      </c>
      <c r="I13" s="21"/>
      <c r="J13" s="23" t="str">
        <f aca="false">IF(A13="","",IF(AND(H13="Yes",I13&lt;&gt;""),I13-D13,""))</f>
        <v/>
      </c>
      <c r="K13" s="24" t="str">
        <f aca="false">IF(A13="","",IF(H13="Yes","Joined",IF(G13="Yes","Offer Declined",IF(F13="Yes","Rejected after Interview",IF(E13="Yes","Not Selected for Interview","Rejected at Screening")))))</f>
        <v>Rejected after Interview</v>
      </c>
    </row>
    <row r="14" customFormat="false" ht="15" hidden="false" customHeight="false" outlineLevel="0" collapsed="false">
      <c r="A14" s="20" t="s">
        <v>56</v>
      </c>
      <c r="B14" s="20" t="s">
        <v>31</v>
      </c>
      <c r="C14" s="20" t="s">
        <v>24</v>
      </c>
      <c r="D14" s="21" t="n">
        <v>46186</v>
      </c>
      <c r="E14" s="22" t="s">
        <v>43</v>
      </c>
      <c r="F14" s="22" t="s">
        <v>43</v>
      </c>
      <c r="G14" s="22" t="s">
        <v>43</v>
      </c>
      <c r="H14" s="22" t="s">
        <v>43</v>
      </c>
      <c r="I14" s="21" t="n">
        <v>46223</v>
      </c>
      <c r="J14" s="23" t="n">
        <f aca="false">IF(A14="","",IF(AND(H14="Yes",I14&lt;&gt;""),I14-D14,""))</f>
        <v>37</v>
      </c>
      <c r="K14" s="24" t="str">
        <f aca="false">IF(A14="","",IF(H14="Yes","Joined",IF(G14="Yes","Offer Declined",IF(F14="Yes","Rejected after Interview",IF(E14="Yes","Not Selected for Interview","Rejected at Screening")))))</f>
        <v>Joined</v>
      </c>
    </row>
    <row r="15" customFormat="false" ht="15" hidden="false" customHeight="false" outlineLevel="0" collapsed="false">
      <c r="A15" s="20" t="s">
        <v>57</v>
      </c>
      <c r="B15" s="20" t="s">
        <v>33</v>
      </c>
      <c r="C15" s="20" t="s">
        <v>27</v>
      </c>
      <c r="D15" s="21" t="n">
        <v>46187</v>
      </c>
      <c r="E15" s="22" t="s">
        <v>44</v>
      </c>
      <c r="F15" s="22" t="s">
        <v>44</v>
      </c>
      <c r="G15" s="22" t="s">
        <v>44</v>
      </c>
      <c r="H15" s="22" t="s">
        <v>44</v>
      </c>
      <c r="I15" s="21"/>
      <c r="J15" s="23" t="str">
        <f aca="false">IF(A15="","",IF(AND(H15="Yes",I15&lt;&gt;""),I15-D15,""))</f>
        <v/>
      </c>
      <c r="K15" s="24" t="str">
        <f aca="false">IF(A15="","",IF(H15="Yes","Joined",IF(G15="Yes","Offer Declined",IF(F15="Yes","Rejected after Interview",IF(E15="Yes","Not Selected for Interview","Rejected at Screening")))))</f>
        <v>Rejected at Screening</v>
      </c>
    </row>
    <row r="16" customFormat="false" ht="15" hidden="false" customHeight="false" outlineLevel="0" collapsed="false">
      <c r="A16" s="20" t="s">
        <v>58</v>
      </c>
      <c r="B16" s="20" t="s">
        <v>34</v>
      </c>
      <c r="C16" s="20" t="s">
        <v>25</v>
      </c>
      <c r="D16" s="21" t="n">
        <v>46187</v>
      </c>
      <c r="E16" s="22" t="s">
        <v>43</v>
      </c>
      <c r="F16" s="22" t="s">
        <v>43</v>
      </c>
      <c r="G16" s="22" t="s">
        <v>44</v>
      </c>
      <c r="H16" s="22" t="s">
        <v>44</v>
      </c>
      <c r="I16" s="21"/>
      <c r="J16" s="23" t="str">
        <f aca="false">IF(A16="","",IF(AND(H16="Yes",I16&lt;&gt;""),I16-D16,""))</f>
        <v/>
      </c>
      <c r="K16" s="24" t="str">
        <f aca="false">IF(A16="","",IF(H16="Yes","Joined",IF(G16="Yes","Offer Declined",IF(F16="Yes","Rejected after Interview",IF(E16="Yes","Not Selected for Interview","Rejected at Screening")))))</f>
        <v>Rejected after Interview</v>
      </c>
    </row>
    <row r="17" customFormat="false" ht="15" hidden="false" customHeight="false" outlineLevel="0" collapsed="false">
      <c r="A17" s="20" t="s">
        <v>59</v>
      </c>
      <c r="B17" s="20" t="s">
        <v>34</v>
      </c>
      <c r="C17" s="20" t="s">
        <v>27</v>
      </c>
      <c r="D17" s="21" t="n">
        <v>46188</v>
      </c>
      <c r="E17" s="22" t="s">
        <v>43</v>
      </c>
      <c r="F17" s="22" t="s">
        <v>44</v>
      </c>
      <c r="G17" s="22" t="s">
        <v>44</v>
      </c>
      <c r="H17" s="22" t="s">
        <v>44</v>
      </c>
      <c r="I17" s="21"/>
      <c r="J17" s="23" t="str">
        <f aca="false">IF(A17="","",IF(AND(H17="Yes",I17&lt;&gt;""),I17-D17,""))</f>
        <v/>
      </c>
      <c r="K17" s="24" t="str">
        <f aca="false">IF(A17="","",IF(H17="Yes","Joined",IF(G17="Yes","Offer Declined",IF(F17="Yes","Rejected after Interview",IF(E17="Yes","Not Selected for Interview","Rejected at Screening")))))</f>
        <v>Not Selected for Interview</v>
      </c>
    </row>
    <row r="18" customFormat="false" ht="15" hidden="false" customHeight="false" outlineLevel="0" collapsed="false">
      <c r="A18" s="20" t="s">
        <v>60</v>
      </c>
      <c r="B18" s="20" t="s">
        <v>33</v>
      </c>
      <c r="C18" s="20" t="s">
        <v>25</v>
      </c>
      <c r="D18" s="21" t="n">
        <v>46189</v>
      </c>
      <c r="E18" s="22" t="s">
        <v>44</v>
      </c>
      <c r="F18" s="22" t="s">
        <v>44</v>
      </c>
      <c r="G18" s="22" t="s">
        <v>44</v>
      </c>
      <c r="H18" s="22" t="s">
        <v>44</v>
      </c>
      <c r="I18" s="21"/>
      <c r="J18" s="23" t="str">
        <f aca="false">IF(A18="","",IF(AND(H18="Yes",I18&lt;&gt;""),I18-D18,""))</f>
        <v/>
      </c>
      <c r="K18" s="24" t="str">
        <f aca="false">IF(A18="","",IF(H18="Yes","Joined",IF(G18="Yes","Offer Declined",IF(F18="Yes","Rejected after Interview",IF(E18="Yes","Not Selected for Interview","Rejected at Screening")))))</f>
        <v>Rejected at Screening</v>
      </c>
    </row>
    <row r="19" customFormat="false" ht="15" hidden="false" customHeight="false" outlineLevel="0" collapsed="false">
      <c r="A19" s="20" t="s">
        <v>61</v>
      </c>
      <c r="B19" s="20" t="s">
        <v>33</v>
      </c>
      <c r="C19" s="20" t="s">
        <v>26</v>
      </c>
      <c r="D19" s="21" t="n">
        <v>46189</v>
      </c>
      <c r="E19" s="22" t="s">
        <v>43</v>
      </c>
      <c r="F19" s="22" t="s">
        <v>43</v>
      </c>
      <c r="G19" s="22" t="s">
        <v>43</v>
      </c>
      <c r="H19" s="22" t="s">
        <v>43</v>
      </c>
      <c r="I19" s="21" t="n">
        <v>46203</v>
      </c>
      <c r="J19" s="23" t="n">
        <f aca="false">IF(A19="","",IF(AND(H19="Yes",I19&lt;&gt;""),I19-D19,""))</f>
        <v>14</v>
      </c>
      <c r="K19" s="24" t="str">
        <f aca="false">IF(A19="","",IF(H19="Yes","Joined",IF(G19="Yes","Offer Declined",IF(F19="Yes","Rejected after Interview",IF(E19="Yes","Not Selected for Interview","Rejected at Screening")))))</f>
        <v>Joined</v>
      </c>
    </row>
    <row r="20" customFormat="false" ht="15" hidden="false" customHeight="false" outlineLevel="0" collapsed="false">
      <c r="A20" s="20" t="s">
        <v>62</v>
      </c>
      <c r="B20" s="20" t="s">
        <v>33</v>
      </c>
      <c r="C20" s="20" t="s">
        <v>23</v>
      </c>
      <c r="D20" s="21" t="n">
        <v>46189</v>
      </c>
      <c r="E20" s="22" t="s">
        <v>43</v>
      </c>
      <c r="F20" s="22" t="s">
        <v>44</v>
      </c>
      <c r="G20" s="22" t="s">
        <v>44</v>
      </c>
      <c r="H20" s="22" t="s">
        <v>44</v>
      </c>
      <c r="I20" s="21"/>
      <c r="J20" s="23" t="str">
        <f aca="false">IF(A20="","",IF(AND(H20="Yes",I20&lt;&gt;""),I20-D20,""))</f>
        <v/>
      </c>
      <c r="K20" s="24" t="str">
        <f aca="false">IF(A20="","",IF(H20="Yes","Joined",IF(G20="Yes","Offer Declined",IF(F20="Yes","Rejected after Interview",IF(E20="Yes","Not Selected for Interview","Rejected at Screening")))))</f>
        <v>Not Selected for Interview</v>
      </c>
    </row>
    <row r="21" customFormat="false" ht="15" hidden="false" customHeight="false" outlineLevel="0" collapsed="false">
      <c r="A21" s="20" t="s">
        <v>63</v>
      </c>
      <c r="B21" s="20" t="s">
        <v>33</v>
      </c>
      <c r="C21" s="20" t="s">
        <v>23</v>
      </c>
      <c r="D21" s="21" t="n">
        <v>46190</v>
      </c>
      <c r="E21" s="22" t="s">
        <v>44</v>
      </c>
      <c r="F21" s="22" t="s">
        <v>44</v>
      </c>
      <c r="G21" s="22" t="s">
        <v>44</v>
      </c>
      <c r="H21" s="22" t="s">
        <v>44</v>
      </c>
      <c r="I21" s="21"/>
      <c r="J21" s="23" t="str">
        <f aca="false">IF(A21="","",IF(AND(H21="Yes",I21&lt;&gt;""),I21-D21,""))</f>
        <v/>
      </c>
      <c r="K21" s="24" t="str">
        <f aca="false">IF(A21="","",IF(H21="Yes","Joined",IF(G21="Yes","Offer Declined",IF(F21="Yes","Rejected after Interview",IF(E21="Yes","Not Selected for Interview","Rejected at Screening")))))</f>
        <v>Rejected at Screening</v>
      </c>
    </row>
    <row r="22" customFormat="false" ht="15" hidden="false" customHeight="false" outlineLevel="0" collapsed="false">
      <c r="A22" s="20" t="s">
        <v>64</v>
      </c>
      <c r="B22" s="20" t="s">
        <v>31</v>
      </c>
      <c r="C22" s="20" t="s">
        <v>25</v>
      </c>
      <c r="D22" s="21" t="n">
        <v>46190</v>
      </c>
      <c r="E22" s="22" t="s">
        <v>44</v>
      </c>
      <c r="F22" s="22" t="s">
        <v>44</v>
      </c>
      <c r="G22" s="22" t="s">
        <v>44</v>
      </c>
      <c r="H22" s="22" t="s">
        <v>44</v>
      </c>
      <c r="I22" s="21"/>
      <c r="J22" s="23" t="str">
        <f aca="false">IF(A22="","",IF(AND(H22="Yes",I22&lt;&gt;""),I22-D22,""))</f>
        <v/>
      </c>
      <c r="K22" s="24" t="str">
        <f aca="false">IF(A22="","",IF(H22="Yes","Joined",IF(G22="Yes","Offer Declined",IF(F22="Yes","Rejected after Interview",IF(E22="Yes","Not Selected for Interview","Rejected at Screening")))))</f>
        <v>Rejected at Screening</v>
      </c>
    </row>
    <row r="23" customFormat="false" ht="15" hidden="false" customHeight="false" outlineLevel="0" collapsed="false">
      <c r="A23" s="20" t="s">
        <v>65</v>
      </c>
      <c r="B23" s="20" t="s">
        <v>31</v>
      </c>
      <c r="C23" s="20" t="s">
        <v>23</v>
      </c>
      <c r="D23" s="21" t="n">
        <v>46191</v>
      </c>
      <c r="E23" s="22" t="s">
        <v>43</v>
      </c>
      <c r="F23" s="22" t="s">
        <v>43</v>
      </c>
      <c r="G23" s="22" t="s">
        <v>44</v>
      </c>
      <c r="H23" s="22" t="s">
        <v>44</v>
      </c>
      <c r="I23" s="21"/>
      <c r="J23" s="23" t="str">
        <f aca="false">IF(A23="","",IF(AND(H23="Yes",I23&lt;&gt;""),I23-D23,""))</f>
        <v/>
      </c>
      <c r="K23" s="24" t="str">
        <f aca="false">IF(A23="","",IF(H23="Yes","Joined",IF(G23="Yes","Offer Declined",IF(F23="Yes","Rejected after Interview",IF(E23="Yes","Not Selected for Interview","Rejected at Screening")))))</f>
        <v>Rejected after Interview</v>
      </c>
    </row>
    <row r="24" customFormat="false" ht="15" hidden="false" customHeight="false" outlineLevel="0" collapsed="false">
      <c r="A24" s="20" t="s">
        <v>66</v>
      </c>
      <c r="B24" s="20" t="s">
        <v>31</v>
      </c>
      <c r="C24" s="20" t="s">
        <v>25</v>
      </c>
      <c r="D24" s="21" t="n">
        <v>46193</v>
      </c>
      <c r="E24" s="22" t="s">
        <v>44</v>
      </c>
      <c r="F24" s="22" t="s">
        <v>44</v>
      </c>
      <c r="G24" s="22" t="s">
        <v>44</v>
      </c>
      <c r="H24" s="22" t="s">
        <v>44</v>
      </c>
      <c r="I24" s="21"/>
      <c r="J24" s="23" t="str">
        <f aca="false">IF(A24="","",IF(AND(H24="Yes",I24&lt;&gt;""),I24-D24,""))</f>
        <v/>
      </c>
      <c r="K24" s="24" t="str">
        <f aca="false">IF(A24="","",IF(H24="Yes","Joined",IF(G24="Yes","Offer Declined",IF(F24="Yes","Rejected after Interview",IF(E24="Yes","Not Selected for Interview","Rejected at Screening")))))</f>
        <v>Rejected at Screening</v>
      </c>
    </row>
    <row r="25" customFormat="false" ht="15" hidden="false" customHeight="false" outlineLevel="0" collapsed="false">
      <c r="A25" s="20" t="s">
        <v>67</v>
      </c>
      <c r="B25" s="20" t="s">
        <v>31</v>
      </c>
      <c r="C25" s="20" t="s">
        <v>27</v>
      </c>
      <c r="D25" s="21" t="n">
        <v>46194</v>
      </c>
      <c r="E25" s="22" t="s">
        <v>43</v>
      </c>
      <c r="F25" s="22" t="s">
        <v>43</v>
      </c>
      <c r="G25" s="22" t="s">
        <v>43</v>
      </c>
      <c r="H25" s="22" t="s">
        <v>43</v>
      </c>
      <c r="I25" s="21" t="n">
        <v>46221</v>
      </c>
      <c r="J25" s="23" t="n">
        <f aca="false">IF(A25="","",IF(AND(H25="Yes",I25&lt;&gt;""),I25-D25,""))</f>
        <v>27</v>
      </c>
      <c r="K25" s="24" t="str">
        <f aca="false">IF(A25="","",IF(H25="Yes","Joined",IF(G25="Yes","Offer Declined",IF(F25="Yes","Rejected after Interview",IF(E25="Yes","Not Selected for Interview","Rejected at Screening")))))</f>
        <v>Joined</v>
      </c>
    </row>
    <row r="26" customFormat="false" ht="15" hidden="false" customHeight="false" outlineLevel="0" collapsed="false">
      <c r="A26" s="20" t="s">
        <v>68</v>
      </c>
      <c r="B26" s="20" t="s">
        <v>32</v>
      </c>
      <c r="C26" s="20" t="s">
        <v>26</v>
      </c>
      <c r="D26" s="21" t="n">
        <v>46197</v>
      </c>
      <c r="E26" s="22" t="s">
        <v>43</v>
      </c>
      <c r="F26" s="22" t="s">
        <v>43</v>
      </c>
      <c r="G26" s="22" t="s">
        <v>44</v>
      </c>
      <c r="H26" s="22" t="s">
        <v>44</v>
      </c>
      <c r="I26" s="21"/>
      <c r="J26" s="23" t="str">
        <f aca="false">IF(A26="","",IF(AND(H26="Yes",I26&lt;&gt;""),I26-D26,""))</f>
        <v/>
      </c>
      <c r="K26" s="24" t="str">
        <f aca="false">IF(A26="","",IF(H26="Yes","Joined",IF(G26="Yes","Offer Declined",IF(F26="Yes","Rejected after Interview",IF(E26="Yes","Not Selected for Interview","Rejected at Screening")))))</f>
        <v>Rejected after Interview</v>
      </c>
    </row>
    <row r="27" customFormat="false" ht="15" hidden="false" customHeight="false" outlineLevel="0" collapsed="false">
      <c r="A27" s="20" t="s">
        <v>69</v>
      </c>
      <c r="B27" s="20" t="s">
        <v>31</v>
      </c>
      <c r="C27" s="20" t="s">
        <v>23</v>
      </c>
      <c r="D27" s="21" t="n">
        <v>46197</v>
      </c>
      <c r="E27" s="22" t="s">
        <v>43</v>
      </c>
      <c r="F27" s="22" t="s">
        <v>43</v>
      </c>
      <c r="G27" s="22" t="s">
        <v>43</v>
      </c>
      <c r="H27" s="22" t="s">
        <v>44</v>
      </c>
      <c r="I27" s="21"/>
      <c r="J27" s="23" t="str">
        <f aca="false">IF(A27="","",IF(AND(H27="Yes",I27&lt;&gt;""),I27-D27,""))</f>
        <v/>
      </c>
      <c r="K27" s="24" t="str">
        <f aca="false">IF(A27="","",IF(H27="Yes","Joined",IF(G27="Yes","Offer Declined",IF(F27="Yes","Rejected after Interview",IF(E27="Yes","Not Selected for Interview","Rejected at Screening")))))</f>
        <v>Offer Declined</v>
      </c>
    </row>
    <row r="28" customFormat="false" ht="15" hidden="false" customHeight="false" outlineLevel="0" collapsed="false">
      <c r="A28" s="20" t="s">
        <v>70</v>
      </c>
      <c r="B28" s="20" t="s">
        <v>33</v>
      </c>
      <c r="C28" s="20" t="s">
        <v>25</v>
      </c>
      <c r="D28" s="21" t="n">
        <v>46197</v>
      </c>
      <c r="E28" s="22" t="s">
        <v>43</v>
      </c>
      <c r="F28" s="22" t="s">
        <v>43</v>
      </c>
      <c r="G28" s="22" t="s">
        <v>44</v>
      </c>
      <c r="H28" s="22" t="s">
        <v>44</v>
      </c>
      <c r="I28" s="21"/>
      <c r="J28" s="23" t="str">
        <f aca="false">IF(A28="","",IF(AND(H28="Yes",I28&lt;&gt;""),I28-D28,""))</f>
        <v/>
      </c>
      <c r="K28" s="24" t="str">
        <f aca="false">IF(A28="","",IF(H28="Yes","Joined",IF(G28="Yes","Offer Declined",IF(F28="Yes","Rejected after Interview",IF(E28="Yes","Not Selected for Interview","Rejected at Screening")))))</f>
        <v>Rejected after Interview</v>
      </c>
    </row>
    <row r="29" customFormat="false" ht="15" hidden="false" customHeight="false" outlineLevel="0" collapsed="false">
      <c r="A29" s="20" t="s">
        <v>71</v>
      </c>
      <c r="B29" s="20" t="s">
        <v>32</v>
      </c>
      <c r="C29" s="20" t="s">
        <v>23</v>
      </c>
      <c r="D29" s="21" t="n">
        <v>46198</v>
      </c>
      <c r="E29" s="22" t="s">
        <v>44</v>
      </c>
      <c r="F29" s="22" t="s">
        <v>44</v>
      </c>
      <c r="G29" s="22" t="s">
        <v>44</v>
      </c>
      <c r="H29" s="22" t="s">
        <v>44</v>
      </c>
      <c r="I29" s="21"/>
      <c r="J29" s="23" t="str">
        <f aca="false">IF(A29="","",IF(AND(H29="Yes",I29&lt;&gt;""),I29-D29,""))</f>
        <v/>
      </c>
      <c r="K29" s="24" t="str">
        <f aca="false">IF(A29="","",IF(H29="Yes","Joined",IF(G29="Yes","Offer Declined",IF(F29="Yes","Rejected after Interview",IF(E29="Yes","Not Selected for Interview","Rejected at Screening")))))</f>
        <v>Rejected at Screening</v>
      </c>
    </row>
    <row r="30" customFormat="false" ht="15" hidden="false" customHeight="false" outlineLevel="0" collapsed="false">
      <c r="A30" s="20" t="s">
        <v>72</v>
      </c>
      <c r="B30" s="20" t="s">
        <v>34</v>
      </c>
      <c r="C30" s="20" t="s">
        <v>25</v>
      </c>
      <c r="D30" s="21" t="n">
        <v>46198</v>
      </c>
      <c r="E30" s="22" t="s">
        <v>44</v>
      </c>
      <c r="F30" s="22" t="s">
        <v>44</v>
      </c>
      <c r="G30" s="22" t="s">
        <v>44</v>
      </c>
      <c r="H30" s="22" t="s">
        <v>44</v>
      </c>
      <c r="I30" s="21"/>
      <c r="J30" s="23" t="str">
        <f aca="false">IF(A30="","",IF(AND(H30="Yes",I30&lt;&gt;""),I30-D30,""))</f>
        <v/>
      </c>
      <c r="K30" s="24" t="str">
        <f aca="false">IF(A30="","",IF(H30="Yes","Joined",IF(G30="Yes","Offer Declined",IF(F30="Yes","Rejected after Interview",IF(E30="Yes","Not Selected for Interview","Rejected at Screening")))))</f>
        <v>Rejected at Screening</v>
      </c>
    </row>
    <row r="31" customFormat="false" ht="15" hidden="false" customHeight="false" outlineLevel="0" collapsed="false">
      <c r="A31" s="20" t="s">
        <v>73</v>
      </c>
      <c r="B31" s="20" t="s">
        <v>34</v>
      </c>
      <c r="C31" s="20" t="s">
        <v>24</v>
      </c>
      <c r="D31" s="21" t="n">
        <v>46198</v>
      </c>
      <c r="E31" s="22" t="s">
        <v>44</v>
      </c>
      <c r="F31" s="22" t="s">
        <v>44</v>
      </c>
      <c r="G31" s="22" t="s">
        <v>44</v>
      </c>
      <c r="H31" s="22" t="s">
        <v>44</v>
      </c>
      <c r="I31" s="21"/>
      <c r="J31" s="23" t="str">
        <f aca="false">IF(A31="","",IF(AND(H31="Yes",I31&lt;&gt;""),I31-D31,""))</f>
        <v/>
      </c>
      <c r="K31" s="24" t="str">
        <f aca="false">IF(A31="","",IF(H31="Yes","Joined",IF(G31="Yes","Offer Declined",IF(F31="Yes","Rejected after Interview",IF(E31="Yes","Not Selected for Interview","Rejected at Screening")))))</f>
        <v>Rejected at Screening</v>
      </c>
    </row>
    <row r="32" customFormat="false" ht="15" hidden="false" customHeight="false" outlineLevel="0" collapsed="false">
      <c r="A32" s="20" t="s">
        <v>74</v>
      </c>
      <c r="B32" s="20" t="s">
        <v>34</v>
      </c>
      <c r="C32" s="20" t="s">
        <v>26</v>
      </c>
      <c r="D32" s="21" t="n">
        <v>46199</v>
      </c>
      <c r="E32" s="22" t="s">
        <v>44</v>
      </c>
      <c r="F32" s="22" t="s">
        <v>44</v>
      </c>
      <c r="G32" s="22" t="s">
        <v>44</v>
      </c>
      <c r="H32" s="22" t="s">
        <v>44</v>
      </c>
      <c r="I32" s="21"/>
      <c r="J32" s="23" t="str">
        <f aca="false">IF(A32="","",IF(AND(H32="Yes",I32&lt;&gt;""),I32-D32,""))</f>
        <v/>
      </c>
      <c r="K32" s="24" t="str">
        <f aca="false">IF(A32="","",IF(H32="Yes","Joined",IF(G32="Yes","Offer Declined",IF(F32="Yes","Rejected after Interview",IF(E32="Yes","Not Selected for Interview","Rejected at Screening")))))</f>
        <v>Rejected at Screening</v>
      </c>
    </row>
    <row r="33" customFormat="false" ht="15" hidden="false" customHeight="false" outlineLevel="0" collapsed="false">
      <c r="A33" s="20" t="s">
        <v>75</v>
      </c>
      <c r="B33" s="20" t="s">
        <v>32</v>
      </c>
      <c r="C33" s="20" t="s">
        <v>24</v>
      </c>
      <c r="D33" s="21" t="n">
        <v>46200</v>
      </c>
      <c r="E33" s="22" t="s">
        <v>43</v>
      </c>
      <c r="F33" s="22" t="s">
        <v>43</v>
      </c>
      <c r="G33" s="22" t="s">
        <v>43</v>
      </c>
      <c r="H33" s="22" t="s">
        <v>43</v>
      </c>
      <c r="I33" s="21" t="n">
        <v>46227</v>
      </c>
      <c r="J33" s="23" t="n">
        <f aca="false">IF(A33="","",IF(AND(H33="Yes",I33&lt;&gt;""),I33-D33,""))</f>
        <v>27</v>
      </c>
      <c r="K33" s="24" t="str">
        <f aca="false">IF(A33="","",IF(H33="Yes","Joined",IF(G33="Yes","Offer Declined",IF(F33="Yes","Rejected after Interview",IF(E33="Yes","Not Selected for Interview","Rejected at Screening")))))</f>
        <v>Joined</v>
      </c>
    </row>
    <row r="34" customFormat="false" ht="15" hidden="false" customHeight="false" outlineLevel="0" collapsed="false">
      <c r="A34" s="20" t="s">
        <v>76</v>
      </c>
      <c r="B34" s="20" t="s">
        <v>31</v>
      </c>
      <c r="C34" s="20" t="s">
        <v>23</v>
      </c>
      <c r="D34" s="21" t="n">
        <v>46201</v>
      </c>
      <c r="E34" s="22" t="s">
        <v>43</v>
      </c>
      <c r="F34" s="22" t="s">
        <v>43</v>
      </c>
      <c r="G34" s="22" t="s">
        <v>44</v>
      </c>
      <c r="H34" s="22" t="s">
        <v>44</v>
      </c>
      <c r="I34" s="21"/>
      <c r="J34" s="23" t="str">
        <f aca="false">IF(A34="","",IF(AND(H34="Yes",I34&lt;&gt;""),I34-D34,""))</f>
        <v/>
      </c>
      <c r="K34" s="24" t="str">
        <f aca="false">IF(A34="","",IF(H34="Yes","Joined",IF(G34="Yes","Offer Declined",IF(F34="Yes","Rejected after Interview",IF(E34="Yes","Not Selected for Interview","Rejected at Screening")))))</f>
        <v>Rejected after Interview</v>
      </c>
    </row>
    <row r="35" customFormat="false" ht="15" hidden="false" customHeight="false" outlineLevel="0" collapsed="false">
      <c r="A35" s="20" t="s">
        <v>77</v>
      </c>
      <c r="B35" s="20" t="s">
        <v>31</v>
      </c>
      <c r="C35" s="20" t="s">
        <v>26</v>
      </c>
      <c r="D35" s="21" t="n">
        <v>46202</v>
      </c>
      <c r="E35" s="22" t="s">
        <v>43</v>
      </c>
      <c r="F35" s="22" t="s">
        <v>44</v>
      </c>
      <c r="G35" s="22" t="s">
        <v>44</v>
      </c>
      <c r="H35" s="22" t="s">
        <v>44</v>
      </c>
      <c r="I35" s="21"/>
      <c r="J35" s="23" t="str">
        <f aca="false">IF(A35="","",IF(AND(H35="Yes",I35&lt;&gt;""),I35-D35,""))</f>
        <v/>
      </c>
      <c r="K35" s="24" t="str">
        <f aca="false">IF(A35="","",IF(H35="Yes","Joined",IF(G35="Yes","Offer Declined",IF(F35="Yes","Rejected after Interview",IF(E35="Yes","Not Selected for Interview","Rejected at Screening")))))</f>
        <v>Not Selected for Interview</v>
      </c>
    </row>
    <row r="36" customFormat="false" ht="15" hidden="false" customHeight="false" outlineLevel="0" collapsed="false">
      <c r="A36" s="20" t="s">
        <v>78</v>
      </c>
      <c r="B36" s="20" t="s">
        <v>31</v>
      </c>
      <c r="C36" s="20" t="s">
        <v>24</v>
      </c>
      <c r="D36" s="21" t="n">
        <v>46203</v>
      </c>
      <c r="E36" s="22" t="s">
        <v>44</v>
      </c>
      <c r="F36" s="22" t="s">
        <v>44</v>
      </c>
      <c r="G36" s="22" t="s">
        <v>44</v>
      </c>
      <c r="H36" s="22" t="s">
        <v>44</v>
      </c>
      <c r="I36" s="21"/>
      <c r="J36" s="23" t="str">
        <f aca="false">IF(A36="","",IF(AND(H36="Yes",I36&lt;&gt;""),I36-D36,""))</f>
        <v/>
      </c>
      <c r="K36" s="24" t="str">
        <f aca="false">IF(A36="","",IF(H36="Yes","Joined",IF(G36="Yes","Offer Declined",IF(F36="Yes","Rejected after Interview",IF(E36="Yes","Not Selected for Interview","Rejected at Screening")))))</f>
        <v>Rejected at Screening</v>
      </c>
    </row>
    <row r="37" customFormat="false" ht="15" hidden="false" customHeight="false" outlineLevel="0" collapsed="false">
      <c r="A37" s="20" t="s">
        <v>79</v>
      </c>
      <c r="B37" s="20" t="s">
        <v>31</v>
      </c>
      <c r="C37" s="20" t="s">
        <v>23</v>
      </c>
      <c r="D37" s="21" t="n">
        <v>46203</v>
      </c>
      <c r="E37" s="22" t="s">
        <v>43</v>
      </c>
      <c r="F37" s="22" t="s">
        <v>43</v>
      </c>
      <c r="G37" s="22" t="s">
        <v>43</v>
      </c>
      <c r="H37" s="22" t="s">
        <v>44</v>
      </c>
      <c r="I37" s="21"/>
      <c r="J37" s="23" t="str">
        <f aca="false">IF(A37="","",IF(AND(H37="Yes",I37&lt;&gt;""),I37-D37,""))</f>
        <v/>
      </c>
      <c r="K37" s="24" t="str">
        <f aca="false">IF(A37="","",IF(H37="Yes","Joined",IF(G37="Yes","Offer Declined",IF(F37="Yes","Rejected after Interview",IF(E37="Yes","Not Selected for Interview","Rejected at Screening")))))</f>
        <v>Offer Declined</v>
      </c>
    </row>
    <row r="38" customFormat="false" ht="15" hidden="false" customHeight="false" outlineLevel="0" collapsed="false">
      <c r="A38" s="20" t="s">
        <v>80</v>
      </c>
      <c r="B38" s="20" t="s">
        <v>31</v>
      </c>
      <c r="C38" s="20" t="s">
        <v>27</v>
      </c>
      <c r="D38" s="21" t="n">
        <v>46203</v>
      </c>
      <c r="E38" s="22" t="s">
        <v>43</v>
      </c>
      <c r="F38" s="22" t="s">
        <v>43</v>
      </c>
      <c r="G38" s="22" t="s">
        <v>44</v>
      </c>
      <c r="H38" s="22" t="s">
        <v>44</v>
      </c>
      <c r="I38" s="21"/>
      <c r="J38" s="23" t="str">
        <f aca="false">IF(A38="","",IF(AND(H38="Yes",I38&lt;&gt;""),I38-D38,""))</f>
        <v/>
      </c>
      <c r="K38" s="24" t="str">
        <f aca="false">IF(A38="","",IF(H38="Yes","Joined",IF(G38="Yes","Offer Declined",IF(F38="Yes","Rejected after Interview",IF(E38="Yes","Not Selected for Interview","Rejected at Screening")))))</f>
        <v>Rejected after Interview</v>
      </c>
    </row>
    <row r="39" customFormat="false" ht="15" hidden="false" customHeight="false" outlineLevel="0" collapsed="false">
      <c r="A39" s="20" t="s">
        <v>81</v>
      </c>
      <c r="B39" s="20" t="s">
        <v>34</v>
      </c>
      <c r="C39" s="20" t="s">
        <v>26</v>
      </c>
      <c r="D39" s="21" t="n">
        <v>46203</v>
      </c>
      <c r="E39" s="22" t="s">
        <v>43</v>
      </c>
      <c r="F39" s="22" t="s">
        <v>44</v>
      </c>
      <c r="G39" s="22" t="s">
        <v>44</v>
      </c>
      <c r="H39" s="22" t="s">
        <v>44</v>
      </c>
      <c r="I39" s="21"/>
      <c r="J39" s="23" t="str">
        <f aca="false">IF(A39="","",IF(AND(H39="Yes",I39&lt;&gt;""),I39-D39,""))</f>
        <v/>
      </c>
      <c r="K39" s="24" t="str">
        <f aca="false">IF(A39="","",IF(H39="Yes","Joined",IF(G39="Yes","Offer Declined",IF(F39="Yes","Rejected after Interview",IF(E39="Yes","Not Selected for Interview","Rejected at Screening")))))</f>
        <v>Not Selected for Interview</v>
      </c>
    </row>
    <row r="40" customFormat="false" ht="15" hidden="false" customHeight="false" outlineLevel="0" collapsed="false">
      <c r="A40" s="20" t="s">
        <v>82</v>
      </c>
      <c r="B40" s="20" t="s">
        <v>32</v>
      </c>
      <c r="C40" s="20" t="s">
        <v>26</v>
      </c>
      <c r="D40" s="21" t="n">
        <v>46204</v>
      </c>
      <c r="E40" s="22" t="s">
        <v>43</v>
      </c>
      <c r="F40" s="22" t="s">
        <v>43</v>
      </c>
      <c r="G40" s="22" t="s">
        <v>43</v>
      </c>
      <c r="H40" s="22" t="s">
        <v>43</v>
      </c>
      <c r="I40" s="21" t="n">
        <v>46220</v>
      </c>
      <c r="J40" s="23" t="n">
        <f aca="false">IF(A40="","",IF(AND(H40="Yes",I40&lt;&gt;""),I40-D40,""))</f>
        <v>16</v>
      </c>
      <c r="K40" s="24" t="str">
        <f aca="false">IF(A40="","",IF(H40="Yes","Joined",IF(G40="Yes","Offer Declined",IF(F40="Yes","Rejected after Interview",IF(E40="Yes","Not Selected for Interview","Rejected at Screening")))))</f>
        <v>Joined</v>
      </c>
    </row>
    <row r="41" customFormat="false" ht="15" hidden="false" customHeight="false" outlineLevel="0" collapsed="false">
      <c r="A41" s="20" t="s">
        <v>83</v>
      </c>
      <c r="B41" s="20" t="s">
        <v>31</v>
      </c>
      <c r="C41" s="20" t="s">
        <v>27</v>
      </c>
      <c r="D41" s="21" t="n">
        <v>46206</v>
      </c>
      <c r="E41" s="22" t="s">
        <v>43</v>
      </c>
      <c r="F41" s="22" t="s">
        <v>43</v>
      </c>
      <c r="G41" s="22" t="s">
        <v>44</v>
      </c>
      <c r="H41" s="22" t="s">
        <v>44</v>
      </c>
      <c r="I41" s="21"/>
      <c r="J41" s="23" t="str">
        <f aca="false">IF(A41="","",IF(AND(H41="Yes",I41&lt;&gt;""),I41-D41,""))</f>
        <v/>
      </c>
      <c r="K41" s="24" t="str">
        <f aca="false">IF(A41="","",IF(H41="Yes","Joined",IF(G41="Yes","Offer Declined",IF(F41="Yes","Rejected after Interview",IF(E41="Yes","Not Selected for Interview","Rejected at Screening")))))</f>
        <v>Rejected after Interview</v>
      </c>
    </row>
    <row r="42" customFormat="false" ht="15" hidden="false" customHeight="false" outlineLevel="0" collapsed="false">
      <c r="A42" s="20" t="s">
        <v>84</v>
      </c>
      <c r="B42" s="20" t="s">
        <v>34</v>
      </c>
      <c r="C42" s="20" t="s">
        <v>25</v>
      </c>
      <c r="D42" s="21" t="n">
        <v>46207</v>
      </c>
      <c r="E42" s="22" t="s">
        <v>43</v>
      </c>
      <c r="F42" s="22" t="s">
        <v>43</v>
      </c>
      <c r="G42" s="22" t="s">
        <v>44</v>
      </c>
      <c r="H42" s="22" t="s">
        <v>44</v>
      </c>
      <c r="I42" s="21"/>
      <c r="J42" s="23" t="str">
        <f aca="false">IF(A42="","",IF(AND(H42="Yes",I42&lt;&gt;""),I42-D42,""))</f>
        <v/>
      </c>
      <c r="K42" s="24" t="str">
        <f aca="false">IF(A42="","",IF(H42="Yes","Joined",IF(G42="Yes","Offer Declined",IF(F42="Yes","Rejected after Interview",IF(E42="Yes","Not Selected for Interview","Rejected at Screening")))))</f>
        <v>Rejected after Interview</v>
      </c>
    </row>
    <row r="43" customFormat="false" ht="15" hidden="false" customHeight="false" outlineLevel="0" collapsed="false">
      <c r="A43" s="20" t="s">
        <v>85</v>
      </c>
      <c r="B43" s="20" t="s">
        <v>32</v>
      </c>
      <c r="C43" s="20" t="s">
        <v>24</v>
      </c>
      <c r="D43" s="21" t="n">
        <v>46207</v>
      </c>
      <c r="E43" s="22" t="s">
        <v>43</v>
      </c>
      <c r="F43" s="22" t="s">
        <v>43</v>
      </c>
      <c r="G43" s="22" t="s">
        <v>44</v>
      </c>
      <c r="H43" s="22" t="s">
        <v>44</v>
      </c>
      <c r="I43" s="21"/>
      <c r="J43" s="23" t="str">
        <f aca="false">IF(A43="","",IF(AND(H43="Yes",I43&lt;&gt;""),I43-D43,""))</f>
        <v/>
      </c>
      <c r="K43" s="24" t="str">
        <f aca="false">IF(A43="","",IF(H43="Yes","Joined",IF(G43="Yes","Offer Declined",IF(F43="Yes","Rejected after Interview",IF(E43="Yes","Not Selected for Interview","Rejected at Screening")))))</f>
        <v>Rejected after Interview</v>
      </c>
    </row>
    <row r="44" customFormat="false" ht="15" hidden="false" customHeight="false" outlineLevel="0" collapsed="false">
      <c r="A44" s="20" t="s">
        <v>86</v>
      </c>
      <c r="B44" s="20" t="s">
        <v>33</v>
      </c>
      <c r="C44" s="20" t="s">
        <v>27</v>
      </c>
      <c r="D44" s="21" t="n">
        <v>46208</v>
      </c>
      <c r="E44" s="22" t="s">
        <v>44</v>
      </c>
      <c r="F44" s="22" t="s">
        <v>44</v>
      </c>
      <c r="G44" s="22" t="s">
        <v>44</v>
      </c>
      <c r="H44" s="22" t="s">
        <v>44</v>
      </c>
      <c r="I44" s="21"/>
      <c r="J44" s="23" t="str">
        <f aca="false">IF(A44="","",IF(AND(H44="Yes",I44&lt;&gt;""),I44-D44,""))</f>
        <v/>
      </c>
      <c r="K44" s="24" t="str">
        <f aca="false">IF(A44="","",IF(H44="Yes","Joined",IF(G44="Yes","Offer Declined",IF(F44="Yes","Rejected after Interview",IF(E44="Yes","Not Selected for Interview","Rejected at Screening")))))</f>
        <v>Rejected at Screening</v>
      </c>
    </row>
    <row r="45" customFormat="false" ht="15" hidden="false" customHeight="false" outlineLevel="0" collapsed="false">
      <c r="A45" s="20" t="s">
        <v>87</v>
      </c>
      <c r="B45" s="20" t="s">
        <v>33</v>
      </c>
      <c r="C45" s="20" t="s">
        <v>26</v>
      </c>
      <c r="D45" s="21" t="n">
        <v>46208</v>
      </c>
      <c r="E45" s="22" t="s">
        <v>43</v>
      </c>
      <c r="F45" s="22" t="s">
        <v>43</v>
      </c>
      <c r="G45" s="22" t="s">
        <v>43</v>
      </c>
      <c r="H45" s="22" t="s">
        <v>43</v>
      </c>
      <c r="I45" s="21" t="n">
        <v>46235</v>
      </c>
      <c r="J45" s="23" t="n">
        <f aca="false">IF(A45="","",IF(AND(H45="Yes",I45&lt;&gt;""),I45-D45,""))</f>
        <v>27</v>
      </c>
      <c r="K45" s="24" t="str">
        <f aca="false">IF(A45="","",IF(H45="Yes","Joined",IF(G45="Yes","Offer Declined",IF(F45="Yes","Rejected after Interview",IF(E45="Yes","Not Selected for Interview","Rejected at Screening")))))</f>
        <v>Joined</v>
      </c>
    </row>
    <row r="46" customFormat="false" ht="15" hidden="false" customHeight="false" outlineLevel="0" collapsed="false">
      <c r="A46" s="20" t="s">
        <v>88</v>
      </c>
      <c r="B46" s="20" t="s">
        <v>32</v>
      </c>
      <c r="C46" s="20" t="s">
        <v>27</v>
      </c>
      <c r="D46" s="21" t="n">
        <v>46211</v>
      </c>
      <c r="E46" s="22" t="s">
        <v>44</v>
      </c>
      <c r="F46" s="22" t="s">
        <v>44</v>
      </c>
      <c r="G46" s="22" t="s">
        <v>44</v>
      </c>
      <c r="H46" s="22" t="s">
        <v>44</v>
      </c>
      <c r="I46" s="21"/>
      <c r="J46" s="23" t="str">
        <f aca="false">IF(A46="","",IF(AND(H46="Yes",I46&lt;&gt;""),I46-D46,""))</f>
        <v/>
      </c>
      <c r="K46" s="24" t="str">
        <f aca="false">IF(A46="","",IF(H46="Yes","Joined",IF(G46="Yes","Offer Declined",IF(F46="Yes","Rejected after Interview",IF(E46="Yes","Not Selected for Interview","Rejected at Screening")))))</f>
        <v>Rejected at Screening</v>
      </c>
    </row>
    <row r="47" customFormat="false" ht="15" hidden="false" customHeight="false" outlineLevel="0" collapsed="false">
      <c r="A47" s="20" t="s">
        <v>89</v>
      </c>
      <c r="B47" s="20" t="s">
        <v>33</v>
      </c>
      <c r="C47" s="20" t="s">
        <v>23</v>
      </c>
      <c r="D47" s="21" t="n">
        <v>46213</v>
      </c>
      <c r="E47" s="22" t="s">
        <v>43</v>
      </c>
      <c r="F47" s="22" t="s">
        <v>44</v>
      </c>
      <c r="G47" s="22" t="s">
        <v>44</v>
      </c>
      <c r="H47" s="22" t="s">
        <v>44</v>
      </c>
      <c r="I47" s="21"/>
      <c r="J47" s="23" t="str">
        <f aca="false">IF(A47="","",IF(AND(H47="Yes",I47&lt;&gt;""),I47-D47,""))</f>
        <v/>
      </c>
      <c r="K47" s="24" t="str">
        <f aca="false">IF(A47="","",IF(H47="Yes","Joined",IF(G47="Yes","Offer Declined",IF(F47="Yes","Rejected after Interview",IF(E47="Yes","Not Selected for Interview","Rejected at Screening")))))</f>
        <v>Not Selected for Interview</v>
      </c>
    </row>
    <row r="48" customFormat="false" ht="15" hidden="false" customHeight="false" outlineLevel="0" collapsed="false">
      <c r="A48" s="20" t="s">
        <v>90</v>
      </c>
      <c r="B48" s="20" t="s">
        <v>31</v>
      </c>
      <c r="C48" s="20" t="s">
        <v>26</v>
      </c>
      <c r="D48" s="21" t="n">
        <v>46214</v>
      </c>
      <c r="E48" s="22" t="s">
        <v>43</v>
      </c>
      <c r="F48" s="22" t="s">
        <v>43</v>
      </c>
      <c r="G48" s="22" t="s">
        <v>43</v>
      </c>
      <c r="H48" s="22" t="s">
        <v>43</v>
      </c>
      <c r="I48" s="21" t="n">
        <v>46229</v>
      </c>
      <c r="J48" s="23" t="n">
        <f aca="false">IF(A48="","",IF(AND(H48="Yes",I48&lt;&gt;""),I48-D48,""))</f>
        <v>15</v>
      </c>
      <c r="K48" s="24" t="str">
        <f aca="false">IF(A48="","",IF(H48="Yes","Joined",IF(G48="Yes","Offer Declined",IF(F48="Yes","Rejected after Interview",IF(E48="Yes","Not Selected for Interview","Rejected at Screening")))))</f>
        <v>Joined</v>
      </c>
    </row>
    <row r="49" customFormat="false" ht="15" hidden="false" customHeight="false" outlineLevel="0" collapsed="false">
      <c r="A49" s="20" t="s">
        <v>91</v>
      </c>
      <c r="B49" s="20" t="s">
        <v>34</v>
      </c>
      <c r="C49" s="20" t="s">
        <v>23</v>
      </c>
      <c r="D49" s="21" t="n">
        <v>46214</v>
      </c>
      <c r="E49" s="22" t="s">
        <v>43</v>
      </c>
      <c r="F49" s="22" t="s">
        <v>44</v>
      </c>
      <c r="G49" s="22" t="s">
        <v>44</v>
      </c>
      <c r="H49" s="22" t="s">
        <v>44</v>
      </c>
      <c r="I49" s="21"/>
      <c r="J49" s="23" t="str">
        <f aca="false">IF(A49="","",IF(AND(H49="Yes",I49&lt;&gt;""),I49-D49,""))</f>
        <v/>
      </c>
      <c r="K49" s="24" t="str">
        <f aca="false">IF(A49="","",IF(H49="Yes","Joined",IF(G49="Yes","Offer Declined",IF(F49="Yes","Rejected after Interview",IF(E49="Yes","Not Selected for Interview","Rejected at Screening")))))</f>
        <v>Not Selected for Interview</v>
      </c>
    </row>
    <row r="50" customFormat="false" ht="15" hidden="false" customHeight="false" outlineLevel="0" collapsed="false">
      <c r="A50" s="20" t="s">
        <v>92</v>
      </c>
      <c r="B50" s="20" t="s">
        <v>31</v>
      </c>
      <c r="C50" s="20" t="s">
        <v>23</v>
      </c>
      <c r="D50" s="21" t="n">
        <v>46214</v>
      </c>
      <c r="E50" s="22" t="s">
        <v>44</v>
      </c>
      <c r="F50" s="22" t="s">
        <v>44</v>
      </c>
      <c r="G50" s="22" t="s">
        <v>44</v>
      </c>
      <c r="H50" s="22" t="s">
        <v>44</v>
      </c>
      <c r="I50" s="21"/>
      <c r="J50" s="23" t="str">
        <f aca="false">IF(A50="","",IF(AND(H50="Yes",I50&lt;&gt;""),I50-D50,""))</f>
        <v/>
      </c>
      <c r="K50" s="24" t="str">
        <f aca="false">IF(A50="","",IF(H50="Yes","Joined",IF(G50="Yes","Offer Declined",IF(F50="Yes","Rejected after Interview",IF(E50="Yes","Not Selected for Interview","Rejected at Screening")))))</f>
        <v>Rejected at Screening</v>
      </c>
    </row>
    <row r="51" customFormat="false" ht="15" hidden="false" customHeight="false" outlineLevel="0" collapsed="false">
      <c r="A51" s="20" t="s">
        <v>93</v>
      </c>
      <c r="B51" s="20" t="s">
        <v>33</v>
      </c>
      <c r="C51" s="20" t="s">
        <v>23</v>
      </c>
      <c r="D51" s="21" t="n">
        <v>46217</v>
      </c>
      <c r="E51" s="22" t="s">
        <v>43</v>
      </c>
      <c r="F51" s="22" t="s">
        <v>43</v>
      </c>
      <c r="G51" s="22" t="s">
        <v>44</v>
      </c>
      <c r="H51" s="22" t="s">
        <v>44</v>
      </c>
      <c r="I51" s="21"/>
      <c r="J51" s="23" t="str">
        <f aca="false">IF(A51="","",IF(AND(H51="Yes",I51&lt;&gt;""),I51-D51,""))</f>
        <v/>
      </c>
      <c r="K51" s="24" t="str">
        <f aca="false">IF(A51="","",IF(H51="Yes","Joined",IF(G51="Yes","Offer Declined",IF(F51="Yes","Rejected after Interview",IF(E51="Yes","Not Selected for Interview","Rejected at Screening")))))</f>
        <v>Rejected after Interview</v>
      </c>
    </row>
    <row r="52" customFormat="false" ht="15" hidden="false" customHeight="false" outlineLevel="0" collapsed="false">
      <c r="A52" s="20" t="s">
        <v>94</v>
      </c>
      <c r="B52" s="20" t="s">
        <v>32</v>
      </c>
      <c r="C52" s="20" t="s">
        <v>24</v>
      </c>
      <c r="D52" s="21" t="n">
        <v>46218</v>
      </c>
      <c r="E52" s="22" t="s">
        <v>43</v>
      </c>
      <c r="F52" s="22" t="s">
        <v>43</v>
      </c>
      <c r="G52" s="22" t="s">
        <v>44</v>
      </c>
      <c r="H52" s="22" t="s">
        <v>44</v>
      </c>
      <c r="I52" s="21"/>
      <c r="J52" s="23" t="str">
        <f aca="false">IF(A52="","",IF(AND(H52="Yes",I52&lt;&gt;""),I52-D52,""))</f>
        <v/>
      </c>
      <c r="K52" s="24" t="str">
        <f aca="false">IF(A52="","",IF(H52="Yes","Joined",IF(G52="Yes","Offer Declined",IF(F52="Yes","Rejected after Interview",IF(E52="Yes","Not Selected for Interview","Rejected at Screening")))))</f>
        <v>Rejected after Interview</v>
      </c>
    </row>
    <row r="53" customFormat="false" ht="15" hidden="false" customHeight="false" outlineLevel="0" collapsed="false">
      <c r="A53" s="20" t="s">
        <v>95</v>
      </c>
      <c r="B53" s="20" t="s">
        <v>34</v>
      </c>
      <c r="C53" s="20" t="s">
        <v>24</v>
      </c>
      <c r="D53" s="21" t="n">
        <v>46218</v>
      </c>
      <c r="E53" s="22" t="s">
        <v>44</v>
      </c>
      <c r="F53" s="22" t="s">
        <v>44</v>
      </c>
      <c r="G53" s="22" t="s">
        <v>44</v>
      </c>
      <c r="H53" s="22" t="s">
        <v>44</v>
      </c>
      <c r="I53" s="21"/>
      <c r="J53" s="23" t="str">
        <f aca="false">IF(A53="","",IF(AND(H53="Yes",I53&lt;&gt;""),I53-D53,""))</f>
        <v/>
      </c>
      <c r="K53" s="24" t="str">
        <f aca="false">IF(A53="","",IF(H53="Yes","Joined",IF(G53="Yes","Offer Declined",IF(F53="Yes","Rejected after Interview",IF(E53="Yes","Not Selected for Interview","Rejected at Screening")))))</f>
        <v>Rejected at Screening</v>
      </c>
    </row>
    <row r="54" customFormat="false" ht="15" hidden="false" customHeight="false" outlineLevel="0" collapsed="false">
      <c r="A54" s="20" t="s">
        <v>96</v>
      </c>
      <c r="B54" s="20" t="s">
        <v>33</v>
      </c>
      <c r="C54" s="20" t="s">
        <v>24</v>
      </c>
      <c r="D54" s="21" t="n">
        <v>46218</v>
      </c>
      <c r="E54" s="22" t="s">
        <v>43</v>
      </c>
      <c r="F54" s="22" t="s">
        <v>43</v>
      </c>
      <c r="G54" s="22" t="s">
        <v>44</v>
      </c>
      <c r="H54" s="22" t="s">
        <v>44</v>
      </c>
      <c r="I54" s="21"/>
      <c r="J54" s="23" t="str">
        <f aca="false">IF(A54="","",IF(AND(H54="Yes",I54&lt;&gt;""),I54-D54,""))</f>
        <v/>
      </c>
      <c r="K54" s="24" t="str">
        <f aca="false">IF(A54="","",IF(H54="Yes","Joined",IF(G54="Yes","Offer Declined",IF(F54="Yes","Rejected after Interview",IF(E54="Yes","Not Selected for Interview","Rejected at Screening")))))</f>
        <v>Rejected after Interview</v>
      </c>
    </row>
    <row r="55" customFormat="false" ht="15" hidden="false" customHeight="false" outlineLevel="0" collapsed="false">
      <c r="A55" s="20" t="s">
        <v>97</v>
      </c>
      <c r="B55" s="20" t="s">
        <v>33</v>
      </c>
      <c r="C55" s="20" t="s">
        <v>26</v>
      </c>
      <c r="D55" s="21" t="n">
        <v>46223</v>
      </c>
      <c r="E55" s="22" t="s">
        <v>43</v>
      </c>
      <c r="F55" s="22" t="s">
        <v>43</v>
      </c>
      <c r="G55" s="22" t="s">
        <v>43</v>
      </c>
      <c r="H55" s="22" t="s">
        <v>43</v>
      </c>
      <c r="I55" s="21" t="n">
        <v>46238</v>
      </c>
      <c r="J55" s="23" t="n">
        <f aca="false">IF(A55="","",IF(AND(H55="Yes",I55&lt;&gt;""),I55-D55,""))</f>
        <v>15</v>
      </c>
      <c r="K55" s="24" t="str">
        <f aca="false">IF(A55="","",IF(H55="Yes","Joined",IF(G55="Yes","Offer Declined",IF(F55="Yes","Rejected after Interview",IF(E55="Yes","Not Selected for Interview","Rejected at Screening")))))</f>
        <v>Joined</v>
      </c>
    </row>
    <row r="56" customFormat="false" ht="15" hidden="false" customHeight="false" outlineLevel="0" collapsed="false">
      <c r="A56" s="20" t="s">
        <v>98</v>
      </c>
      <c r="B56" s="20" t="s">
        <v>33</v>
      </c>
      <c r="C56" s="20" t="s">
        <v>24</v>
      </c>
      <c r="D56" s="21" t="n">
        <v>46223</v>
      </c>
      <c r="E56" s="22" t="s">
        <v>44</v>
      </c>
      <c r="F56" s="22" t="s">
        <v>44</v>
      </c>
      <c r="G56" s="22" t="s">
        <v>44</v>
      </c>
      <c r="H56" s="22" t="s">
        <v>44</v>
      </c>
      <c r="I56" s="21"/>
      <c r="J56" s="23" t="str">
        <f aca="false">IF(A56="","",IF(AND(H56="Yes",I56&lt;&gt;""),I56-D56,""))</f>
        <v/>
      </c>
      <c r="K56" s="24" t="str">
        <f aca="false">IF(A56="","",IF(H56="Yes","Joined",IF(G56="Yes","Offer Declined",IF(F56="Yes","Rejected after Interview",IF(E56="Yes","Not Selected for Interview","Rejected at Screening")))))</f>
        <v>Rejected at Screening</v>
      </c>
    </row>
    <row r="57" customFormat="false" ht="15" hidden="false" customHeight="false" outlineLevel="0" collapsed="false">
      <c r="A57" s="20" t="s">
        <v>99</v>
      </c>
      <c r="B57" s="20" t="s">
        <v>32</v>
      </c>
      <c r="C57" s="20" t="s">
        <v>24</v>
      </c>
      <c r="D57" s="21" t="n">
        <v>46224</v>
      </c>
      <c r="E57" s="22" t="s">
        <v>44</v>
      </c>
      <c r="F57" s="22" t="s">
        <v>44</v>
      </c>
      <c r="G57" s="22" t="s">
        <v>44</v>
      </c>
      <c r="H57" s="22" t="s">
        <v>44</v>
      </c>
      <c r="I57" s="21"/>
      <c r="J57" s="23" t="str">
        <f aca="false">IF(A57="","",IF(AND(H57="Yes",I57&lt;&gt;""),I57-D57,""))</f>
        <v/>
      </c>
      <c r="K57" s="24" t="str">
        <f aca="false">IF(A57="","",IF(H57="Yes","Joined",IF(G57="Yes","Offer Declined",IF(F57="Yes","Rejected after Interview",IF(E57="Yes","Not Selected for Interview","Rejected at Screening")))))</f>
        <v>Rejected at Screening</v>
      </c>
    </row>
    <row r="58" customFormat="false" ht="15" hidden="false" customHeight="false" outlineLevel="0" collapsed="false">
      <c r="A58" s="20" t="s">
        <v>100</v>
      </c>
      <c r="B58" s="20" t="s">
        <v>31</v>
      </c>
      <c r="C58" s="20" t="s">
        <v>23</v>
      </c>
      <c r="D58" s="21" t="n">
        <v>46227</v>
      </c>
      <c r="E58" s="22" t="s">
        <v>43</v>
      </c>
      <c r="F58" s="22" t="s">
        <v>43</v>
      </c>
      <c r="G58" s="22" t="s">
        <v>44</v>
      </c>
      <c r="H58" s="22" t="s">
        <v>44</v>
      </c>
      <c r="I58" s="21"/>
      <c r="J58" s="23" t="str">
        <f aca="false">IF(A58="","",IF(AND(H58="Yes",I58&lt;&gt;""),I58-D58,""))</f>
        <v/>
      </c>
      <c r="K58" s="24" t="str">
        <f aca="false">IF(A58="","",IF(H58="Yes","Joined",IF(G58="Yes","Offer Declined",IF(F58="Yes","Rejected after Interview",IF(E58="Yes","Not Selected for Interview","Rejected at Screening")))))</f>
        <v>Rejected after Interview</v>
      </c>
    </row>
    <row r="59" customFormat="false" ht="15" hidden="false" customHeight="false" outlineLevel="0" collapsed="false">
      <c r="A59" s="20" t="s">
        <v>101</v>
      </c>
      <c r="B59" s="20" t="s">
        <v>31</v>
      </c>
      <c r="C59" s="20" t="s">
        <v>27</v>
      </c>
      <c r="D59" s="21" t="n">
        <v>46229</v>
      </c>
      <c r="E59" s="22" t="s">
        <v>43</v>
      </c>
      <c r="F59" s="22" t="s">
        <v>43</v>
      </c>
      <c r="G59" s="22" t="s">
        <v>44</v>
      </c>
      <c r="H59" s="22" t="s">
        <v>44</v>
      </c>
      <c r="I59" s="21"/>
      <c r="J59" s="23" t="str">
        <f aca="false">IF(A59="","",IF(AND(H59="Yes",I59&lt;&gt;""),I59-D59,""))</f>
        <v/>
      </c>
      <c r="K59" s="24" t="str">
        <f aca="false">IF(A59="","",IF(H59="Yes","Joined",IF(G59="Yes","Offer Declined",IF(F59="Yes","Rejected after Interview",IF(E59="Yes","Not Selected for Interview","Rejected at Screening")))))</f>
        <v>Rejected after Interview</v>
      </c>
    </row>
    <row r="60" customFormat="false" ht="15" hidden="false" customHeight="false" outlineLevel="0" collapsed="false">
      <c r="A60" s="20" t="s">
        <v>102</v>
      </c>
      <c r="B60" s="20" t="s">
        <v>34</v>
      </c>
      <c r="C60" s="20" t="s">
        <v>23</v>
      </c>
      <c r="D60" s="21" t="n">
        <v>46229</v>
      </c>
      <c r="E60" s="22" t="s">
        <v>43</v>
      </c>
      <c r="F60" s="22" t="s">
        <v>43</v>
      </c>
      <c r="G60" s="22" t="s">
        <v>44</v>
      </c>
      <c r="H60" s="22" t="s">
        <v>44</v>
      </c>
      <c r="I60" s="21"/>
      <c r="J60" s="23" t="str">
        <f aca="false">IF(A60="","",IF(AND(H60="Yes",I60&lt;&gt;""),I60-D60,""))</f>
        <v/>
      </c>
      <c r="K60" s="24" t="str">
        <f aca="false">IF(A60="","",IF(H60="Yes","Joined",IF(G60="Yes","Offer Declined",IF(F60="Yes","Rejected after Interview",IF(E60="Yes","Not Selected for Interview","Rejected at Screening")))))</f>
        <v>Rejected after Interview</v>
      </c>
    </row>
    <row r="61" customFormat="false" ht="15" hidden="false" customHeight="false" outlineLevel="0" collapsed="false">
      <c r="A61" s="20" t="s">
        <v>103</v>
      </c>
      <c r="B61" s="20" t="s">
        <v>31</v>
      </c>
      <c r="C61" s="20" t="s">
        <v>23</v>
      </c>
      <c r="D61" s="21" t="n">
        <v>46230</v>
      </c>
      <c r="E61" s="22" t="s">
        <v>44</v>
      </c>
      <c r="F61" s="22" t="s">
        <v>44</v>
      </c>
      <c r="G61" s="22" t="s">
        <v>44</v>
      </c>
      <c r="H61" s="22" t="s">
        <v>44</v>
      </c>
      <c r="I61" s="21"/>
      <c r="J61" s="23" t="str">
        <f aca="false">IF(A61="","",IF(AND(H61="Yes",I61&lt;&gt;""),I61-D61,""))</f>
        <v/>
      </c>
      <c r="K61" s="24" t="str">
        <f aca="false">IF(A61="","",IF(H61="Yes","Joined",IF(G61="Yes","Offer Declined",IF(F61="Yes","Rejected after Interview",IF(E61="Yes","Not Selected for Interview","Rejected at Screening")))))</f>
        <v>Rejected at Screening</v>
      </c>
    </row>
    <row r="62" customFormat="false" ht="15" hidden="false" customHeight="false" outlineLevel="0" collapsed="false">
      <c r="A62" s="20" t="s">
        <v>104</v>
      </c>
      <c r="B62" s="20" t="s">
        <v>34</v>
      </c>
      <c r="C62" s="20" t="s">
        <v>25</v>
      </c>
      <c r="D62" s="21" t="n">
        <v>46231</v>
      </c>
      <c r="E62" s="22" t="s">
        <v>43</v>
      </c>
      <c r="F62" s="22" t="s">
        <v>43</v>
      </c>
      <c r="G62" s="22" t="s">
        <v>43</v>
      </c>
      <c r="H62" s="22" t="s">
        <v>43</v>
      </c>
      <c r="I62" s="21" t="n">
        <v>46255</v>
      </c>
      <c r="J62" s="23" t="n">
        <f aca="false">IF(A62="","",IF(AND(H62="Yes",I62&lt;&gt;""),I62-D62,""))</f>
        <v>24</v>
      </c>
      <c r="K62" s="24" t="str">
        <f aca="false">IF(A62="","",IF(H62="Yes","Joined",IF(G62="Yes","Offer Declined",IF(F62="Yes","Rejected after Interview",IF(E62="Yes","Not Selected for Interview","Rejected at Screening")))))</f>
        <v>Joined</v>
      </c>
    </row>
    <row r="63" customFormat="false" ht="15" hidden="false" customHeight="false" outlineLevel="0" collapsed="false">
      <c r="A63" s="20" t="s">
        <v>105</v>
      </c>
      <c r="B63" s="20" t="s">
        <v>31</v>
      </c>
      <c r="C63" s="20" t="s">
        <v>23</v>
      </c>
      <c r="D63" s="21" t="n">
        <v>46231</v>
      </c>
      <c r="E63" s="22" t="s">
        <v>44</v>
      </c>
      <c r="F63" s="22" t="s">
        <v>44</v>
      </c>
      <c r="G63" s="22" t="s">
        <v>44</v>
      </c>
      <c r="H63" s="22" t="s">
        <v>44</v>
      </c>
      <c r="I63" s="21"/>
      <c r="J63" s="23" t="str">
        <f aca="false">IF(A63="","",IF(AND(H63="Yes",I63&lt;&gt;""),I63-D63,""))</f>
        <v/>
      </c>
      <c r="K63" s="24" t="str">
        <f aca="false">IF(A63="","",IF(H63="Yes","Joined",IF(G63="Yes","Offer Declined",IF(F63="Yes","Rejected after Interview",IF(E63="Yes","Not Selected for Interview","Rejected at Screening")))))</f>
        <v>Rejected at Screening</v>
      </c>
    </row>
    <row r="64" customFormat="false" ht="15" hidden="false" customHeight="false" outlineLevel="0" collapsed="false">
      <c r="A64" s="20" t="s">
        <v>106</v>
      </c>
      <c r="B64" s="20" t="s">
        <v>33</v>
      </c>
      <c r="C64" s="20" t="s">
        <v>25</v>
      </c>
      <c r="D64" s="21" t="n">
        <v>46232</v>
      </c>
      <c r="E64" s="22" t="s">
        <v>44</v>
      </c>
      <c r="F64" s="22" t="s">
        <v>44</v>
      </c>
      <c r="G64" s="22" t="s">
        <v>44</v>
      </c>
      <c r="H64" s="22" t="s">
        <v>44</v>
      </c>
      <c r="I64" s="21"/>
      <c r="J64" s="23" t="str">
        <f aca="false">IF(A64="","",IF(AND(H64="Yes",I64&lt;&gt;""),I64-D64,""))</f>
        <v/>
      </c>
      <c r="K64" s="24" t="str">
        <f aca="false">IF(A64="","",IF(H64="Yes","Joined",IF(G64="Yes","Offer Declined",IF(F64="Yes","Rejected after Interview",IF(E64="Yes","Not Selected for Interview","Rejected at Screening")))))</f>
        <v>Rejected at Screening</v>
      </c>
    </row>
    <row r="65" customFormat="false" ht="15" hidden="false" customHeight="false" outlineLevel="0" collapsed="false">
      <c r="A65" s="20" t="s">
        <v>107</v>
      </c>
      <c r="B65" s="20" t="s">
        <v>32</v>
      </c>
      <c r="C65" s="20" t="s">
        <v>24</v>
      </c>
      <c r="D65" s="21" t="n">
        <v>46233</v>
      </c>
      <c r="E65" s="22" t="s">
        <v>43</v>
      </c>
      <c r="F65" s="22" t="s">
        <v>43</v>
      </c>
      <c r="G65" s="22" t="s">
        <v>44</v>
      </c>
      <c r="H65" s="22" t="s">
        <v>44</v>
      </c>
      <c r="I65" s="21"/>
      <c r="J65" s="23" t="str">
        <f aca="false">IF(A65="","",IF(AND(H65="Yes",I65&lt;&gt;""),I65-D65,""))</f>
        <v/>
      </c>
      <c r="K65" s="24" t="str">
        <f aca="false">IF(A65="","",IF(H65="Yes","Joined",IF(G65="Yes","Offer Declined",IF(F65="Yes","Rejected after Interview",IF(E65="Yes","Not Selected for Interview","Rejected at Screening")))))</f>
        <v>Rejected after Interview</v>
      </c>
    </row>
    <row r="66" customFormat="false" ht="15" hidden="false" customHeight="false" outlineLevel="0" collapsed="false">
      <c r="A66" s="20" t="s">
        <v>108</v>
      </c>
      <c r="B66" s="20" t="s">
        <v>33</v>
      </c>
      <c r="C66" s="20" t="s">
        <v>23</v>
      </c>
      <c r="D66" s="21" t="n">
        <v>46233</v>
      </c>
      <c r="E66" s="22" t="s">
        <v>44</v>
      </c>
      <c r="F66" s="22" t="s">
        <v>44</v>
      </c>
      <c r="G66" s="22" t="s">
        <v>44</v>
      </c>
      <c r="H66" s="22" t="s">
        <v>44</v>
      </c>
      <c r="I66" s="21"/>
      <c r="J66" s="23" t="str">
        <f aca="false">IF(A66="","",IF(AND(H66="Yes",I66&lt;&gt;""),I66-D66,""))</f>
        <v/>
      </c>
      <c r="K66" s="24" t="str">
        <f aca="false">IF(A66="","",IF(H66="Yes","Joined",IF(G66="Yes","Offer Declined",IF(F66="Yes","Rejected after Interview",IF(E66="Yes","Not Selected for Interview","Rejected at Screening")))))</f>
        <v>Rejected at Screening</v>
      </c>
    </row>
    <row r="67" customFormat="false" ht="15" hidden="false" customHeight="false" outlineLevel="0" collapsed="false">
      <c r="A67" s="20" t="s">
        <v>109</v>
      </c>
      <c r="B67" s="20" t="s">
        <v>33</v>
      </c>
      <c r="C67" s="20" t="s">
        <v>23</v>
      </c>
      <c r="D67" s="21" t="n">
        <v>46234</v>
      </c>
      <c r="E67" s="22" t="s">
        <v>44</v>
      </c>
      <c r="F67" s="22" t="s">
        <v>44</v>
      </c>
      <c r="G67" s="22" t="s">
        <v>44</v>
      </c>
      <c r="H67" s="22" t="s">
        <v>44</v>
      </c>
      <c r="I67" s="21"/>
      <c r="J67" s="23" t="str">
        <f aca="false">IF(A67="","",IF(AND(H67="Yes",I67&lt;&gt;""),I67-D67,""))</f>
        <v/>
      </c>
      <c r="K67" s="24" t="str">
        <f aca="false">IF(A67="","",IF(H67="Yes","Joined",IF(G67="Yes","Offer Declined",IF(F67="Yes","Rejected after Interview",IF(E67="Yes","Not Selected for Interview","Rejected at Screening")))))</f>
        <v>Rejected at Screening</v>
      </c>
    </row>
    <row r="68" customFormat="false" ht="15" hidden="false" customHeight="false" outlineLevel="0" collapsed="false">
      <c r="A68" s="20" t="s">
        <v>110</v>
      </c>
      <c r="B68" s="20" t="s">
        <v>33</v>
      </c>
      <c r="C68" s="20" t="s">
        <v>25</v>
      </c>
      <c r="D68" s="21" t="n">
        <v>46234</v>
      </c>
      <c r="E68" s="22" t="s">
        <v>44</v>
      </c>
      <c r="F68" s="22" t="s">
        <v>44</v>
      </c>
      <c r="G68" s="22" t="s">
        <v>44</v>
      </c>
      <c r="H68" s="22" t="s">
        <v>44</v>
      </c>
      <c r="I68" s="21"/>
      <c r="J68" s="23" t="str">
        <f aca="false">IF(A68="","",IF(AND(H68="Yes",I68&lt;&gt;""),I68-D68,""))</f>
        <v/>
      </c>
      <c r="K68" s="24" t="str">
        <f aca="false">IF(A68="","",IF(H68="Yes","Joined",IF(G68="Yes","Offer Declined",IF(F68="Yes","Rejected after Interview",IF(E68="Yes","Not Selected for Interview","Rejected at Screening")))))</f>
        <v>Rejected at Screening</v>
      </c>
    </row>
    <row r="69" customFormat="false" ht="15" hidden="false" customHeight="false" outlineLevel="0" collapsed="false">
      <c r="A69" s="20" t="s">
        <v>111</v>
      </c>
      <c r="B69" s="20" t="s">
        <v>34</v>
      </c>
      <c r="C69" s="20" t="s">
        <v>24</v>
      </c>
      <c r="D69" s="21" t="n">
        <v>46235</v>
      </c>
      <c r="E69" s="22" t="s">
        <v>44</v>
      </c>
      <c r="F69" s="22" t="s">
        <v>44</v>
      </c>
      <c r="G69" s="22" t="s">
        <v>44</v>
      </c>
      <c r="H69" s="22" t="s">
        <v>44</v>
      </c>
      <c r="I69" s="21"/>
      <c r="J69" s="23" t="str">
        <f aca="false">IF(A69="","",IF(AND(H69="Yes",I69&lt;&gt;""),I69-D69,""))</f>
        <v/>
      </c>
      <c r="K69" s="24" t="str">
        <f aca="false">IF(A69="","",IF(H69="Yes","Joined",IF(G69="Yes","Offer Declined",IF(F69="Yes","Rejected after Interview",IF(E69="Yes","Not Selected for Interview","Rejected at Screening")))))</f>
        <v>Rejected at Screening</v>
      </c>
    </row>
    <row r="70" customFormat="false" ht="15" hidden="false" customHeight="false" outlineLevel="0" collapsed="false">
      <c r="A70" s="20" t="s">
        <v>112</v>
      </c>
      <c r="B70" s="20" t="s">
        <v>33</v>
      </c>
      <c r="C70" s="20" t="s">
        <v>25</v>
      </c>
      <c r="D70" s="21" t="n">
        <v>46235</v>
      </c>
      <c r="E70" s="22" t="s">
        <v>43</v>
      </c>
      <c r="F70" s="22" t="s">
        <v>43</v>
      </c>
      <c r="G70" s="22" t="s">
        <v>44</v>
      </c>
      <c r="H70" s="22" t="s">
        <v>44</v>
      </c>
      <c r="I70" s="21"/>
      <c r="J70" s="23" t="str">
        <f aca="false">IF(A70="","",IF(AND(H70="Yes",I70&lt;&gt;""),I70-D70,""))</f>
        <v/>
      </c>
      <c r="K70" s="24" t="str">
        <f aca="false">IF(A70="","",IF(H70="Yes","Joined",IF(G70="Yes","Offer Declined",IF(F70="Yes","Rejected after Interview",IF(E70="Yes","Not Selected for Interview","Rejected at Screening")))))</f>
        <v>Rejected after Interview</v>
      </c>
    </row>
    <row r="71" customFormat="false" ht="15" hidden="false" customHeight="false" outlineLevel="0" collapsed="false">
      <c r="A71" s="20" t="s">
        <v>113</v>
      </c>
      <c r="B71" s="20" t="s">
        <v>31</v>
      </c>
      <c r="C71" s="20" t="s">
        <v>23</v>
      </c>
      <c r="D71" s="21" t="n">
        <v>46237</v>
      </c>
      <c r="E71" s="22" t="s">
        <v>43</v>
      </c>
      <c r="F71" s="22" t="s">
        <v>44</v>
      </c>
      <c r="G71" s="22" t="s">
        <v>44</v>
      </c>
      <c r="H71" s="22" t="s">
        <v>44</v>
      </c>
      <c r="I71" s="21"/>
      <c r="J71" s="23" t="str">
        <f aca="false">IF(A71="","",IF(AND(H71="Yes",I71&lt;&gt;""),I71-D71,""))</f>
        <v/>
      </c>
      <c r="K71" s="24" t="str">
        <f aca="false">IF(A71="","",IF(H71="Yes","Joined",IF(G71="Yes","Offer Declined",IF(F71="Yes","Rejected after Interview",IF(E71="Yes","Not Selected for Interview","Rejected at Screening")))))</f>
        <v>Not Selected for Interview</v>
      </c>
    </row>
    <row r="72" customFormat="false" ht="15" hidden="false" customHeight="false" outlineLevel="0" collapsed="false">
      <c r="A72" s="20" t="s">
        <v>114</v>
      </c>
      <c r="B72" s="20" t="s">
        <v>31</v>
      </c>
      <c r="C72" s="20" t="s">
        <v>23</v>
      </c>
      <c r="D72" s="21" t="n">
        <v>46237</v>
      </c>
      <c r="E72" s="22" t="s">
        <v>43</v>
      </c>
      <c r="F72" s="22" t="s">
        <v>44</v>
      </c>
      <c r="G72" s="22" t="s">
        <v>44</v>
      </c>
      <c r="H72" s="22" t="s">
        <v>44</v>
      </c>
      <c r="I72" s="21"/>
      <c r="J72" s="23" t="str">
        <f aca="false">IF(A72="","",IF(AND(H72="Yes",I72&lt;&gt;""),I72-D72,""))</f>
        <v/>
      </c>
      <c r="K72" s="24" t="str">
        <f aca="false">IF(A72="","",IF(H72="Yes","Joined",IF(G72="Yes","Offer Declined",IF(F72="Yes","Rejected after Interview",IF(E72="Yes","Not Selected for Interview","Rejected at Screening")))))</f>
        <v>Not Selected for Interview</v>
      </c>
    </row>
    <row r="73" customFormat="false" ht="15" hidden="false" customHeight="false" outlineLevel="0" collapsed="false">
      <c r="A73" s="20" t="s">
        <v>115</v>
      </c>
      <c r="B73" s="20" t="s">
        <v>31</v>
      </c>
      <c r="C73" s="20" t="s">
        <v>25</v>
      </c>
      <c r="D73" s="21" t="n">
        <v>46238</v>
      </c>
      <c r="E73" s="22" t="s">
        <v>44</v>
      </c>
      <c r="F73" s="22" t="s">
        <v>44</v>
      </c>
      <c r="G73" s="22" t="s">
        <v>44</v>
      </c>
      <c r="H73" s="22" t="s">
        <v>44</v>
      </c>
      <c r="I73" s="21"/>
      <c r="J73" s="23" t="str">
        <f aca="false">IF(A73="","",IF(AND(H73="Yes",I73&lt;&gt;""),I73-D73,""))</f>
        <v/>
      </c>
      <c r="K73" s="24" t="str">
        <f aca="false">IF(A73="","",IF(H73="Yes","Joined",IF(G73="Yes","Offer Declined",IF(F73="Yes","Rejected after Interview",IF(E73="Yes","Not Selected for Interview","Rejected at Screening")))))</f>
        <v>Rejected at Screening</v>
      </c>
    </row>
    <row r="74" customFormat="false" ht="15" hidden="false" customHeight="false" outlineLevel="0" collapsed="false">
      <c r="A74" s="20" t="s">
        <v>116</v>
      </c>
      <c r="B74" s="20" t="s">
        <v>33</v>
      </c>
      <c r="C74" s="20" t="s">
        <v>25</v>
      </c>
      <c r="D74" s="21" t="n">
        <v>46238</v>
      </c>
      <c r="E74" s="22" t="s">
        <v>43</v>
      </c>
      <c r="F74" s="22" t="s">
        <v>44</v>
      </c>
      <c r="G74" s="22" t="s">
        <v>44</v>
      </c>
      <c r="H74" s="22" t="s">
        <v>44</v>
      </c>
      <c r="I74" s="21"/>
      <c r="J74" s="23" t="str">
        <f aca="false">IF(A74="","",IF(AND(H74="Yes",I74&lt;&gt;""),I74-D74,""))</f>
        <v/>
      </c>
      <c r="K74" s="24" t="str">
        <f aca="false">IF(A74="","",IF(H74="Yes","Joined",IF(G74="Yes","Offer Declined",IF(F74="Yes","Rejected after Interview",IF(E74="Yes","Not Selected for Interview","Rejected at Screening")))))</f>
        <v>Not Selected for Interview</v>
      </c>
    </row>
    <row r="75" customFormat="false" ht="15" hidden="false" customHeight="false" outlineLevel="0" collapsed="false">
      <c r="A75" s="20" t="s">
        <v>117</v>
      </c>
      <c r="B75" s="20" t="s">
        <v>33</v>
      </c>
      <c r="C75" s="20" t="s">
        <v>27</v>
      </c>
      <c r="D75" s="21" t="n">
        <v>46238</v>
      </c>
      <c r="E75" s="22" t="s">
        <v>43</v>
      </c>
      <c r="F75" s="22" t="s">
        <v>44</v>
      </c>
      <c r="G75" s="22" t="s">
        <v>44</v>
      </c>
      <c r="H75" s="22" t="s">
        <v>44</v>
      </c>
      <c r="I75" s="21"/>
      <c r="J75" s="23" t="str">
        <f aca="false">IF(A75="","",IF(AND(H75="Yes",I75&lt;&gt;""),I75-D75,""))</f>
        <v/>
      </c>
      <c r="K75" s="24" t="str">
        <f aca="false">IF(A75="","",IF(H75="Yes","Joined",IF(G75="Yes","Offer Declined",IF(F75="Yes","Rejected after Interview",IF(E75="Yes","Not Selected for Interview","Rejected at Screening")))))</f>
        <v>Not Selected for Interview</v>
      </c>
    </row>
    <row r="76" customFormat="false" ht="15" hidden="false" customHeight="false" outlineLevel="0" collapsed="false">
      <c r="A76" s="20" t="s">
        <v>118</v>
      </c>
      <c r="B76" s="20" t="s">
        <v>32</v>
      </c>
      <c r="C76" s="20" t="s">
        <v>27</v>
      </c>
      <c r="D76" s="21" t="n">
        <v>46239</v>
      </c>
      <c r="E76" s="22" t="s">
        <v>43</v>
      </c>
      <c r="F76" s="22" t="s">
        <v>43</v>
      </c>
      <c r="G76" s="22" t="s">
        <v>44</v>
      </c>
      <c r="H76" s="22" t="s">
        <v>44</v>
      </c>
      <c r="I76" s="21"/>
      <c r="J76" s="23" t="str">
        <f aca="false">IF(A76="","",IF(AND(H76="Yes",I76&lt;&gt;""),I76-D76,""))</f>
        <v/>
      </c>
      <c r="K76" s="24" t="str">
        <f aca="false">IF(A76="","",IF(H76="Yes","Joined",IF(G76="Yes","Offer Declined",IF(F76="Yes","Rejected after Interview",IF(E76="Yes","Not Selected for Interview","Rejected at Screening")))))</f>
        <v>Rejected after Interview</v>
      </c>
    </row>
    <row r="77" customFormat="false" ht="15" hidden="false" customHeight="false" outlineLevel="0" collapsed="false">
      <c r="A77" s="20" t="s">
        <v>119</v>
      </c>
      <c r="B77" s="20" t="s">
        <v>34</v>
      </c>
      <c r="C77" s="20" t="s">
        <v>23</v>
      </c>
      <c r="D77" s="21" t="n">
        <v>46239</v>
      </c>
      <c r="E77" s="22" t="s">
        <v>44</v>
      </c>
      <c r="F77" s="22" t="s">
        <v>44</v>
      </c>
      <c r="G77" s="22" t="s">
        <v>44</v>
      </c>
      <c r="H77" s="22" t="s">
        <v>44</v>
      </c>
      <c r="I77" s="21"/>
      <c r="J77" s="23" t="str">
        <f aca="false">IF(A77="","",IF(AND(H77="Yes",I77&lt;&gt;""),I77-D77,""))</f>
        <v/>
      </c>
      <c r="K77" s="24" t="str">
        <f aca="false">IF(A77="","",IF(H77="Yes","Joined",IF(G77="Yes","Offer Declined",IF(F77="Yes","Rejected after Interview",IF(E77="Yes","Not Selected for Interview","Rejected at Screening")))))</f>
        <v>Rejected at Screening</v>
      </c>
    </row>
    <row r="78" customFormat="false" ht="15" hidden="false" customHeight="false" outlineLevel="0" collapsed="false">
      <c r="A78" s="20" t="s">
        <v>120</v>
      </c>
      <c r="B78" s="20" t="s">
        <v>32</v>
      </c>
      <c r="C78" s="20" t="s">
        <v>25</v>
      </c>
      <c r="D78" s="21" t="n">
        <v>46240</v>
      </c>
      <c r="E78" s="22" t="s">
        <v>44</v>
      </c>
      <c r="F78" s="22" t="s">
        <v>44</v>
      </c>
      <c r="G78" s="22" t="s">
        <v>44</v>
      </c>
      <c r="H78" s="22" t="s">
        <v>44</v>
      </c>
      <c r="I78" s="21"/>
      <c r="J78" s="23" t="str">
        <f aca="false">IF(A78="","",IF(AND(H78="Yes",I78&lt;&gt;""),I78-D78,""))</f>
        <v/>
      </c>
      <c r="K78" s="24" t="str">
        <f aca="false">IF(A78="","",IF(H78="Yes","Joined",IF(G78="Yes","Offer Declined",IF(F78="Yes","Rejected after Interview",IF(E78="Yes","Not Selected for Interview","Rejected at Screening")))))</f>
        <v>Rejected at Screening</v>
      </c>
    </row>
    <row r="79" customFormat="false" ht="15" hidden="false" customHeight="false" outlineLevel="0" collapsed="false">
      <c r="A79" s="20" t="s">
        <v>121</v>
      </c>
      <c r="B79" s="20" t="s">
        <v>31</v>
      </c>
      <c r="C79" s="20" t="s">
        <v>24</v>
      </c>
      <c r="D79" s="21" t="n">
        <v>46240</v>
      </c>
      <c r="E79" s="22" t="s">
        <v>44</v>
      </c>
      <c r="F79" s="22" t="s">
        <v>44</v>
      </c>
      <c r="G79" s="22" t="s">
        <v>44</v>
      </c>
      <c r="H79" s="22" t="s">
        <v>44</v>
      </c>
      <c r="I79" s="21"/>
      <c r="J79" s="23" t="str">
        <f aca="false">IF(A79="","",IF(AND(H79="Yes",I79&lt;&gt;""),I79-D79,""))</f>
        <v/>
      </c>
      <c r="K79" s="24" t="str">
        <f aca="false">IF(A79="","",IF(H79="Yes","Joined",IF(G79="Yes","Offer Declined",IF(F79="Yes","Rejected after Interview",IF(E79="Yes","Not Selected for Interview","Rejected at Screening")))))</f>
        <v>Rejected at Screening</v>
      </c>
    </row>
    <row r="80" customFormat="false" ht="15" hidden="false" customHeight="false" outlineLevel="0" collapsed="false">
      <c r="A80" s="20" t="s">
        <v>122</v>
      </c>
      <c r="B80" s="20" t="s">
        <v>32</v>
      </c>
      <c r="C80" s="20" t="s">
        <v>24</v>
      </c>
      <c r="D80" s="21" t="n">
        <v>46241</v>
      </c>
      <c r="E80" s="22" t="s">
        <v>44</v>
      </c>
      <c r="F80" s="22" t="s">
        <v>44</v>
      </c>
      <c r="G80" s="22" t="s">
        <v>44</v>
      </c>
      <c r="H80" s="22" t="s">
        <v>44</v>
      </c>
      <c r="I80" s="21"/>
      <c r="J80" s="23" t="str">
        <f aca="false">IF(A80="","",IF(AND(H80="Yes",I80&lt;&gt;""),I80-D80,""))</f>
        <v/>
      </c>
      <c r="K80" s="24" t="str">
        <f aca="false">IF(A80="","",IF(H80="Yes","Joined",IF(G80="Yes","Offer Declined",IF(F80="Yes","Rejected after Interview",IF(E80="Yes","Not Selected for Interview","Rejected at Screening")))))</f>
        <v>Rejected at Screening</v>
      </c>
    </row>
    <row r="81" customFormat="false" ht="15" hidden="false" customHeight="false" outlineLevel="0" collapsed="false">
      <c r="A81" s="20" t="s">
        <v>123</v>
      </c>
      <c r="B81" s="20" t="s">
        <v>33</v>
      </c>
      <c r="C81" s="20" t="s">
        <v>24</v>
      </c>
      <c r="D81" s="21" t="n">
        <v>46242</v>
      </c>
      <c r="E81" s="22" t="s">
        <v>43</v>
      </c>
      <c r="F81" s="22" t="s">
        <v>43</v>
      </c>
      <c r="G81" s="22" t="s">
        <v>43</v>
      </c>
      <c r="H81" s="22" t="s">
        <v>44</v>
      </c>
      <c r="I81" s="21"/>
      <c r="J81" s="23" t="str">
        <f aca="false">IF(A81="","",IF(AND(H81="Yes",I81&lt;&gt;""),I81-D81,""))</f>
        <v/>
      </c>
      <c r="K81" s="24" t="str">
        <f aca="false">IF(A81="","",IF(H81="Yes","Joined",IF(G81="Yes","Offer Declined",IF(F81="Yes","Rejected after Interview",IF(E81="Yes","Not Selected for Interview","Rejected at Screening")))))</f>
        <v>Offer Declined</v>
      </c>
    </row>
    <row r="82" customFormat="false" ht="15" hidden="false" customHeight="false" outlineLevel="0" collapsed="false">
      <c r="A82" s="20" t="s">
        <v>124</v>
      </c>
      <c r="B82" s="20" t="s">
        <v>34</v>
      </c>
      <c r="C82" s="20" t="s">
        <v>27</v>
      </c>
      <c r="D82" s="21" t="n">
        <v>46243</v>
      </c>
      <c r="E82" s="22" t="s">
        <v>43</v>
      </c>
      <c r="F82" s="22" t="s">
        <v>44</v>
      </c>
      <c r="G82" s="22" t="s">
        <v>44</v>
      </c>
      <c r="H82" s="22" t="s">
        <v>44</v>
      </c>
      <c r="I82" s="21"/>
      <c r="J82" s="23" t="str">
        <f aca="false">IF(A82="","",IF(AND(H82="Yes",I82&lt;&gt;""),I82-D82,""))</f>
        <v/>
      </c>
      <c r="K82" s="24" t="str">
        <f aca="false">IF(A82="","",IF(H82="Yes","Joined",IF(G82="Yes","Offer Declined",IF(F82="Yes","Rejected after Interview",IF(E82="Yes","Not Selected for Interview","Rejected at Screening")))))</f>
        <v>Not Selected for Interview</v>
      </c>
    </row>
    <row r="83" customFormat="false" ht="15" hidden="false" customHeight="false" outlineLevel="0" collapsed="false">
      <c r="A83" s="20" t="s">
        <v>125</v>
      </c>
      <c r="B83" s="20" t="s">
        <v>33</v>
      </c>
      <c r="C83" s="20" t="s">
        <v>23</v>
      </c>
      <c r="D83" s="21" t="n">
        <v>46245</v>
      </c>
      <c r="E83" s="22" t="s">
        <v>44</v>
      </c>
      <c r="F83" s="22" t="s">
        <v>44</v>
      </c>
      <c r="G83" s="22" t="s">
        <v>44</v>
      </c>
      <c r="H83" s="22" t="s">
        <v>44</v>
      </c>
      <c r="I83" s="21"/>
      <c r="J83" s="23" t="str">
        <f aca="false">IF(A83="","",IF(AND(H83="Yes",I83&lt;&gt;""),I83-D83,""))</f>
        <v/>
      </c>
      <c r="K83" s="24" t="str">
        <f aca="false">IF(A83="","",IF(H83="Yes","Joined",IF(G83="Yes","Offer Declined",IF(F83="Yes","Rejected after Interview",IF(E83="Yes","Not Selected for Interview","Rejected at Screening")))))</f>
        <v>Rejected at Screening</v>
      </c>
    </row>
    <row r="84" customFormat="false" ht="15" hidden="false" customHeight="false" outlineLevel="0" collapsed="false">
      <c r="A84" s="20" t="s">
        <v>126</v>
      </c>
      <c r="B84" s="20" t="s">
        <v>33</v>
      </c>
      <c r="C84" s="20" t="s">
        <v>23</v>
      </c>
      <c r="D84" s="21" t="n">
        <v>46246</v>
      </c>
      <c r="E84" s="22" t="s">
        <v>43</v>
      </c>
      <c r="F84" s="22" t="s">
        <v>43</v>
      </c>
      <c r="G84" s="22" t="s">
        <v>43</v>
      </c>
      <c r="H84" s="22" t="s">
        <v>43</v>
      </c>
      <c r="I84" s="21" t="n">
        <v>46281</v>
      </c>
      <c r="J84" s="23" t="n">
        <f aca="false">IF(A84="","",IF(AND(H84="Yes",I84&lt;&gt;""),I84-D84,""))</f>
        <v>35</v>
      </c>
      <c r="K84" s="24" t="str">
        <f aca="false">IF(A84="","",IF(H84="Yes","Joined",IF(G84="Yes","Offer Declined",IF(F84="Yes","Rejected after Interview",IF(E84="Yes","Not Selected for Interview","Rejected at Screening")))))</f>
        <v>Joined</v>
      </c>
    </row>
    <row r="85" customFormat="false" ht="15" hidden="false" customHeight="false" outlineLevel="0" collapsed="false">
      <c r="A85" s="20" t="s">
        <v>127</v>
      </c>
      <c r="B85" s="20" t="s">
        <v>33</v>
      </c>
      <c r="C85" s="20" t="s">
        <v>23</v>
      </c>
      <c r="D85" s="21" t="n">
        <v>46247</v>
      </c>
      <c r="E85" s="22" t="s">
        <v>44</v>
      </c>
      <c r="F85" s="22" t="s">
        <v>44</v>
      </c>
      <c r="G85" s="22" t="s">
        <v>44</v>
      </c>
      <c r="H85" s="22" t="s">
        <v>44</v>
      </c>
      <c r="I85" s="21"/>
      <c r="J85" s="23" t="str">
        <f aca="false">IF(A85="","",IF(AND(H85="Yes",I85&lt;&gt;""),I85-D85,""))</f>
        <v/>
      </c>
      <c r="K85" s="24" t="str">
        <f aca="false">IF(A85="","",IF(H85="Yes","Joined",IF(G85="Yes","Offer Declined",IF(F85="Yes","Rejected after Interview",IF(E85="Yes","Not Selected for Interview","Rejected at Screening")))))</f>
        <v>Rejected at Screening</v>
      </c>
    </row>
    <row r="86" customFormat="false" ht="15" hidden="false" customHeight="false" outlineLevel="0" collapsed="false">
      <c r="A86" s="20" t="s">
        <v>128</v>
      </c>
      <c r="B86" s="20" t="s">
        <v>32</v>
      </c>
      <c r="C86" s="20" t="s">
        <v>26</v>
      </c>
      <c r="D86" s="21" t="n">
        <v>46247</v>
      </c>
      <c r="E86" s="22" t="s">
        <v>43</v>
      </c>
      <c r="F86" s="22" t="s">
        <v>43</v>
      </c>
      <c r="G86" s="22" t="s">
        <v>44</v>
      </c>
      <c r="H86" s="22" t="s">
        <v>44</v>
      </c>
      <c r="I86" s="21"/>
      <c r="J86" s="23" t="str">
        <f aca="false">IF(A86="","",IF(AND(H86="Yes",I86&lt;&gt;""),I86-D86,""))</f>
        <v/>
      </c>
      <c r="K86" s="24" t="str">
        <f aca="false">IF(A86="","",IF(H86="Yes","Joined",IF(G86="Yes","Offer Declined",IF(F86="Yes","Rejected after Interview",IF(E86="Yes","Not Selected for Interview","Rejected at Screening")))))</f>
        <v>Rejected after Interview</v>
      </c>
    </row>
    <row r="87" customFormat="false" ht="15" hidden="false" customHeight="false" outlineLevel="0" collapsed="false">
      <c r="A87" s="20" t="s">
        <v>129</v>
      </c>
      <c r="B87" s="20" t="s">
        <v>31</v>
      </c>
      <c r="C87" s="20" t="s">
        <v>25</v>
      </c>
      <c r="D87" s="21" t="n">
        <v>46249</v>
      </c>
      <c r="E87" s="22" t="s">
        <v>43</v>
      </c>
      <c r="F87" s="22" t="s">
        <v>43</v>
      </c>
      <c r="G87" s="22" t="s">
        <v>43</v>
      </c>
      <c r="H87" s="22" t="s">
        <v>43</v>
      </c>
      <c r="I87" s="21" t="n">
        <v>46289</v>
      </c>
      <c r="J87" s="23" t="n">
        <f aca="false">IF(A87="","",IF(AND(H87="Yes",I87&lt;&gt;""),I87-D87,""))</f>
        <v>40</v>
      </c>
      <c r="K87" s="24" t="str">
        <f aca="false">IF(A87="","",IF(H87="Yes","Joined",IF(G87="Yes","Offer Declined",IF(F87="Yes","Rejected after Interview",IF(E87="Yes","Not Selected for Interview","Rejected at Screening")))))</f>
        <v>Joined</v>
      </c>
    </row>
    <row r="88" customFormat="false" ht="15" hidden="false" customHeight="false" outlineLevel="0" collapsed="false">
      <c r="A88" s="20" t="s">
        <v>130</v>
      </c>
      <c r="B88" s="20" t="s">
        <v>31</v>
      </c>
      <c r="C88" s="20" t="s">
        <v>23</v>
      </c>
      <c r="D88" s="21" t="n">
        <v>46249</v>
      </c>
      <c r="E88" s="22" t="s">
        <v>43</v>
      </c>
      <c r="F88" s="22" t="s">
        <v>43</v>
      </c>
      <c r="G88" s="22" t="s">
        <v>43</v>
      </c>
      <c r="H88" s="22" t="s">
        <v>43</v>
      </c>
      <c r="I88" s="21" t="n">
        <v>46283</v>
      </c>
      <c r="J88" s="23" t="n">
        <f aca="false">IF(A88="","",IF(AND(H88="Yes",I88&lt;&gt;""),I88-D88,""))</f>
        <v>34</v>
      </c>
      <c r="K88" s="24" t="str">
        <f aca="false">IF(A88="","",IF(H88="Yes","Joined",IF(G88="Yes","Offer Declined",IF(F88="Yes","Rejected after Interview",IF(E88="Yes","Not Selected for Interview","Rejected at Screening")))))</f>
        <v>Joined</v>
      </c>
    </row>
    <row r="89" customFormat="false" ht="15" hidden="false" customHeight="false" outlineLevel="0" collapsed="false">
      <c r="A89" s="20" t="s">
        <v>131</v>
      </c>
      <c r="B89" s="20" t="s">
        <v>34</v>
      </c>
      <c r="C89" s="20" t="s">
        <v>24</v>
      </c>
      <c r="D89" s="21" t="n">
        <v>46252</v>
      </c>
      <c r="E89" s="22" t="s">
        <v>44</v>
      </c>
      <c r="F89" s="22" t="s">
        <v>44</v>
      </c>
      <c r="G89" s="22" t="s">
        <v>44</v>
      </c>
      <c r="H89" s="22" t="s">
        <v>44</v>
      </c>
      <c r="I89" s="21"/>
      <c r="J89" s="23" t="str">
        <f aca="false">IF(A89="","",IF(AND(H89="Yes",I89&lt;&gt;""),I89-D89,""))</f>
        <v/>
      </c>
      <c r="K89" s="24" t="str">
        <f aca="false">IF(A89="","",IF(H89="Yes","Joined",IF(G89="Yes","Offer Declined",IF(F89="Yes","Rejected after Interview",IF(E89="Yes","Not Selected for Interview","Rejected at Screening")))))</f>
        <v>Rejected at Screening</v>
      </c>
    </row>
    <row r="90" customFormat="false" ht="15" hidden="false" customHeight="false" outlineLevel="0" collapsed="false">
      <c r="A90" s="20" t="s">
        <v>132</v>
      </c>
      <c r="B90" s="20" t="s">
        <v>31</v>
      </c>
      <c r="C90" s="20" t="s">
        <v>27</v>
      </c>
      <c r="D90" s="21" t="n">
        <v>46254</v>
      </c>
      <c r="E90" s="22" t="s">
        <v>43</v>
      </c>
      <c r="F90" s="22" t="s">
        <v>43</v>
      </c>
      <c r="G90" s="22" t="s">
        <v>44</v>
      </c>
      <c r="H90" s="22" t="s">
        <v>44</v>
      </c>
      <c r="I90" s="21"/>
      <c r="J90" s="23" t="str">
        <f aca="false">IF(A90="","",IF(AND(H90="Yes",I90&lt;&gt;""),I90-D90,""))</f>
        <v/>
      </c>
      <c r="K90" s="24" t="str">
        <f aca="false">IF(A90="","",IF(H90="Yes","Joined",IF(G90="Yes","Offer Declined",IF(F90="Yes","Rejected after Interview",IF(E90="Yes","Not Selected for Interview","Rejected at Screening")))))</f>
        <v>Rejected after Interview</v>
      </c>
    </row>
    <row r="91" customFormat="false" ht="15" hidden="false" customHeight="false" outlineLevel="0" collapsed="false">
      <c r="A91" s="20" t="s">
        <v>133</v>
      </c>
      <c r="B91" s="20" t="s">
        <v>31</v>
      </c>
      <c r="C91" s="20" t="s">
        <v>26</v>
      </c>
      <c r="D91" s="21" t="n">
        <v>46255</v>
      </c>
      <c r="E91" s="22" t="s">
        <v>43</v>
      </c>
      <c r="F91" s="22" t="s">
        <v>44</v>
      </c>
      <c r="G91" s="22" t="s">
        <v>44</v>
      </c>
      <c r="H91" s="22" t="s">
        <v>44</v>
      </c>
      <c r="I91" s="21"/>
      <c r="J91" s="23" t="str">
        <f aca="false">IF(A91="","",IF(AND(H91="Yes",I91&lt;&gt;""),I91-D91,""))</f>
        <v/>
      </c>
      <c r="K91" s="24" t="str">
        <f aca="false">IF(A91="","",IF(H91="Yes","Joined",IF(G91="Yes","Offer Declined",IF(F91="Yes","Rejected after Interview",IF(E91="Yes","Not Selected for Interview","Rejected at Screening")))))</f>
        <v>Not Selected for Interview</v>
      </c>
    </row>
    <row r="92" customFormat="false" ht="15" hidden="false" customHeight="false" outlineLevel="0" collapsed="false">
      <c r="A92" s="20" t="s">
        <v>134</v>
      </c>
      <c r="B92" s="20" t="s">
        <v>31</v>
      </c>
      <c r="C92" s="20" t="s">
        <v>24</v>
      </c>
      <c r="D92" s="21" t="n">
        <v>46255</v>
      </c>
      <c r="E92" s="22" t="s">
        <v>44</v>
      </c>
      <c r="F92" s="22" t="s">
        <v>44</v>
      </c>
      <c r="G92" s="22" t="s">
        <v>44</v>
      </c>
      <c r="H92" s="22" t="s">
        <v>44</v>
      </c>
      <c r="I92" s="21"/>
      <c r="J92" s="23" t="str">
        <f aca="false">IF(A92="","",IF(AND(H92="Yes",I92&lt;&gt;""),I92-D92,""))</f>
        <v/>
      </c>
      <c r="K92" s="24" t="str">
        <f aca="false">IF(A92="","",IF(H92="Yes","Joined",IF(G92="Yes","Offer Declined",IF(F92="Yes","Rejected after Interview",IF(E92="Yes","Not Selected for Interview","Rejected at Screening")))))</f>
        <v>Rejected at Screening</v>
      </c>
    </row>
    <row r="93" customFormat="false" ht="15" hidden="false" customHeight="false" outlineLevel="0" collapsed="false">
      <c r="A93" s="20" t="s">
        <v>135</v>
      </c>
      <c r="B93" s="20" t="s">
        <v>31</v>
      </c>
      <c r="C93" s="20" t="s">
        <v>24</v>
      </c>
      <c r="D93" s="21" t="n">
        <v>46256</v>
      </c>
      <c r="E93" s="22" t="s">
        <v>43</v>
      </c>
      <c r="F93" s="22" t="s">
        <v>44</v>
      </c>
      <c r="G93" s="22" t="s">
        <v>44</v>
      </c>
      <c r="H93" s="22" t="s">
        <v>44</v>
      </c>
      <c r="I93" s="21"/>
      <c r="J93" s="23" t="str">
        <f aca="false">IF(A93="","",IF(AND(H93="Yes",I93&lt;&gt;""),I93-D93,""))</f>
        <v/>
      </c>
      <c r="K93" s="24" t="str">
        <f aca="false">IF(A93="","",IF(H93="Yes","Joined",IF(G93="Yes","Offer Declined",IF(F93="Yes","Rejected after Interview",IF(E93="Yes","Not Selected for Interview","Rejected at Screening")))))</f>
        <v>Not Selected for Interview</v>
      </c>
    </row>
    <row r="94" customFormat="false" ht="15" hidden="false" customHeight="false" outlineLevel="0" collapsed="false">
      <c r="A94" s="20" t="s">
        <v>136</v>
      </c>
      <c r="B94" s="20" t="s">
        <v>31</v>
      </c>
      <c r="C94" s="20" t="s">
        <v>25</v>
      </c>
      <c r="D94" s="21" t="n">
        <v>46257</v>
      </c>
      <c r="E94" s="22" t="s">
        <v>43</v>
      </c>
      <c r="F94" s="22" t="s">
        <v>43</v>
      </c>
      <c r="G94" s="22" t="s">
        <v>43</v>
      </c>
      <c r="H94" s="22" t="s">
        <v>43</v>
      </c>
      <c r="I94" s="21" t="n">
        <v>46298</v>
      </c>
      <c r="J94" s="23" t="n">
        <f aca="false">IF(A94="","",IF(AND(H94="Yes",I94&lt;&gt;""),I94-D94,""))</f>
        <v>41</v>
      </c>
      <c r="K94" s="24" t="str">
        <f aca="false">IF(A94="","",IF(H94="Yes","Joined",IF(G94="Yes","Offer Declined",IF(F94="Yes","Rejected after Interview",IF(E94="Yes","Not Selected for Interview","Rejected at Screening")))))</f>
        <v>Joined</v>
      </c>
    </row>
    <row r="95" customFormat="false" ht="15" hidden="false" customHeight="false" outlineLevel="0" collapsed="false">
      <c r="A95" s="20" t="s">
        <v>137</v>
      </c>
      <c r="B95" s="20" t="s">
        <v>31</v>
      </c>
      <c r="C95" s="20" t="s">
        <v>24</v>
      </c>
      <c r="D95" s="21" t="n">
        <v>46257</v>
      </c>
      <c r="E95" s="22" t="s">
        <v>43</v>
      </c>
      <c r="F95" s="22" t="s">
        <v>43</v>
      </c>
      <c r="G95" s="22" t="s">
        <v>43</v>
      </c>
      <c r="H95" s="22" t="s">
        <v>44</v>
      </c>
      <c r="I95" s="21"/>
      <c r="J95" s="23" t="str">
        <f aca="false">IF(A95="","",IF(AND(H95="Yes",I95&lt;&gt;""),I95-D95,""))</f>
        <v/>
      </c>
      <c r="K95" s="24" t="str">
        <f aca="false">IF(A95="","",IF(H95="Yes","Joined",IF(G95="Yes","Offer Declined",IF(F95="Yes","Rejected after Interview",IF(E95="Yes","Not Selected for Interview","Rejected at Screening")))))</f>
        <v>Offer Declined</v>
      </c>
    </row>
    <row r="96" customFormat="false" ht="15" hidden="false" customHeight="false" outlineLevel="0" collapsed="false">
      <c r="A96" s="20" t="s">
        <v>138</v>
      </c>
      <c r="B96" s="20" t="s">
        <v>34</v>
      </c>
      <c r="C96" s="20" t="s">
        <v>26</v>
      </c>
      <c r="D96" s="21" t="n">
        <v>46260</v>
      </c>
      <c r="E96" s="22" t="s">
        <v>44</v>
      </c>
      <c r="F96" s="22" t="s">
        <v>44</v>
      </c>
      <c r="G96" s="22" t="s">
        <v>44</v>
      </c>
      <c r="H96" s="22" t="s">
        <v>44</v>
      </c>
      <c r="I96" s="21"/>
      <c r="J96" s="23" t="str">
        <f aca="false">IF(A96="","",IF(AND(H96="Yes",I96&lt;&gt;""),I96-D96,""))</f>
        <v/>
      </c>
      <c r="K96" s="24" t="str">
        <f aca="false">IF(A96="","",IF(H96="Yes","Joined",IF(G96="Yes","Offer Declined",IF(F96="Yes","Rejected after Interview",IF(E96="Yes","Not Selected for Interview","Rejected at Screening")))))</f>
        <v>Rejected at Screening</v>
      </c>
    </row>
    <row r="97" customFormat="false" ht="15" hidden="false" customHeight="false" outlineLevel="0" collapsed="false">
      <c r="A97" s="20" t="s">
        <v>139</v>
      </c>
      <c r="B97" s="20" t="s">
        <v>33</v>
      </c>
      <c r="C97" s="20" t="s">
        <v>23</v>
      </c>
      <c r="D97" s="21" t="n">
        <v>46261</v>
      </c>
      <c r="E97" s="22" t="s">
        <v>43</v>
      </c>
      <c r="F97" s="22" t="s">
        <v>43</v>
      </c>
      <c r="G97" s="22" t="s">
        <v>43</v>
      </c>
      <c r="H97" s="22" t="s">
        <v>43</v>
      </c>
      <c r="I97" s="21" t="n">
        <v>46295</v>
      </c>
      <c r="J97" s="23" t="n">
        <f aca="false">IF(A97="","",IF(AND(H97="Yes",I97&lt;&gt;""),I97-D97,""))</f>
        <v>34</v>
      </c>
      <c r="K97" s="24" t="str">
        <f aca="false">IF(A97="","",IF(H97="Yes","Joined",IF(G97="Yes","Offer Declined",IF(F97="Yes","Rejected after Interview",IF(E97="Yes","Not Selected for Interview","Rejected at Screening")))))</f>
        <v>Joined</v>
      </c>
    </row>
    <row r="98" customFormat="false" ht="15" hidden="false" customHeight="false" outlineLevel="0" collapsed="false">
      <c r="A98" s="20" t="s">
        <v>140</v>
      </c>
      <c r="B98" s="20" t="s">
        <v>33</v>
      </c>
      <c r="C98" s="20" t="s">
        <v>23</v>
      </c>
      <c r="D98" s="21" t="n">
        <v>46261</v>
      </c>
      <c r="E98" s="22" t="s">
        <v>44</v>
      </c>
      <c r="F98" s="22" t="s">
        <v>44</v>
      </c>
      <c r="G98" s="22" t="s">
        <v>44</v>
      </c>
      <c r="H98" s="22" t="s">
        <v>44</v>
      </c>
      <c r="I98" s="21"/>
      <c r="J98" s="23" t="str">
        <f aca="false">IF(A98="","",IF(AND(H98="Yes",I98&lt;&gt;""),I98-D98,""))</f>
        <v/>
      </c>
      <c r="K98" s="24" t="str">
        <f aca="false">IF(A98="","",IF(H98="Yes","Joined",IF(G98="Yes","Offer Declined",IF(F98="Yes","Rejected after Interview",IF(E98="Yes","Not Selected for Interview","Rejected at Screening")))))</f>
        <v>Rejected at Screening</v>
      </c>
    </row>
    <row r="99" customFormat="false" ht="15" hidden="false" customHeight="false" outlineLevel="0" collapsed="false">
      <c r="A99" s="20" t="s">
        <v>141</v>
      </c>
      <c r="B99" s="20" t="s">
        <v>33</v>
      </c>
      <c r="C99" s="20" t="s">
        <v>23</v>
      </c>
      <c r="D99" s="21" t="n">
        <v>46263</v>
      </c>
      <c r="E99" s="22" t="s">
        <v>43</v>
      </c>
      <c r="F99" s="22" t="s">
        <v>43</v>
      </c>
      <c r="G99" s="22" t="s">
        <v>44</v>
      </c>
      <c r="H99" s="22" t="s">
        <v>44</v>
      </c>
      <c r="I99" s="21"/>
      <c r="J99" s="23" t="str">
        <f aca="false">IF(A99="","",IF(AND(H99="Yes",I99&lt;&gt;""),I99-D99,""))</f>
        <v/>
      </c>
      <c r="K99" s="24" t="str">
        <f aca="false">IF(A99="","",IF(H99="Yes","Joined",IF(G99="Yes","Offer Declined",IF(F99="Yes","Rejected after Interview",IF(E99="Yes","Not Selected for Interview","Rejected at Screening")))))</f>
        <v>Rejected after Interview</v>
      </c>
    </row>
    <row r="100" customFormat="false" ht="15" hidden="false" customHeight="false" outlineLevel="0" collapsed="false">
      <c r="A100" s="20" t="s">
        <v>142</v>
      </c>
      <c r="B100" s="20" t="s">
        <v>33</v>
      </c>
      <c r="C100" s="20" t="s">
        <v>27</v>
      </c>
      <c r="D100" s="21" t="n">
        <v>46264</v>
      </c>
      <c r="E100" s="22" t="s">
        <v>44</v>
      </c>
      <c r="F100" s="22" t="s">
        <v>44</v>
      </c>
      <c r="G100" s="22" t="s">
        <v>44</v>
      </c>
      <c r="H100" s="22" t="s">
        <v>44</v>
      </c>
      <c r="I100" s="21"/>
      <c r="J100" s="23" t="str">
        <f aca="false">IF(A100="","",IF(AND(H100="Yes",I100&lt;&gt;""),I100-D100,""))</f>
        <v/>
      </c>
      <c r="K100" s="24" t="str">
        <f aca="false">IF(A100="","",IF(H100="Yes","Joined",IF(G100="Yes","Offer Declined",IF(F100="Yes","Rejected after Interview",IF(E100="Yes","Not Selected for Interview","Rejected at Screening")))))</f>
        <v>Rejected at Screening</v>
      </c>
    </row>
    <row r="101" customFormat="false" ht="15" hidden="false" customHeight="false" outlineLevel="0" collapsed="false">
      <c r="A101" s="20" t="s">
        <v>143</v>
      </c>
      <c r="B101" s="20" t="s">
        <v>31</v>
      </c>
      <c r="C101" s="20" t="s">
        <v>26</v>
      </c>
      <c r="D101" s="21" t="n">
        <v>46265</v>
      </c>
      <c r="E101" s="22" t="s">
        <v>43</v>
      </c>
      <c r="F101" s="22" t="s">
        <v>43</v>
      </c>
      <c r="G101" s="22" t="s">
        <v>43</v>
      </c>
      <c r="H101" s="22" t="s">
        <v>43</v>
      </c>
      <c r="I101" s="21" t="n">
        <v>46281</v>
      </c>
      <c r="J101" s="23" t="n">
        <f aca="false">IF(A101="","",IF(AND(H101="Yes",I101&lt;&gt;""),I101-D101,""))</f>
        <v>16</v>
      </c>
      <c r="K101" s="24" t="str">
        <f aca="false">IF(A101="","",IF(H101="Yes","Joined",IF(G101="Yes","Offer Declined",IF(F101="Yes","Rejected after Interview",IF(E101="Yes","Not Selected for Interview","Rejected at Screening")))))</f>
        <v>Joined</v>
      </c>
    </row>
    <row r="102" customFormat="false" ht="15" hidden="false" customHeight="false" outlineLevel="0" collapsed="false">
      <c r="A102" s="25"/>
      <c r="B102" s="25"/>
      <c r="C102" s="25"/>
      <c r="D102" s="26"/>
      <c r="E102" s="27"/>
      <c r="F102" s="27"/>
      <c r="G102" s="27"/>
      <c r="H102" s="27"/>
      <c r="I102" s="26"/>
      <c r="J102" s="23" t="str">
        <f aca="false">IF(A102="","",IF(AND(H102="Yes",I102&lt;&gt;""),I102-D102,""))</f>
        <v/>
      </c>
      <c r="K102" s="24" t="str">
        <f aca="false">IF(A102="","",IF(H102="Yes","Joined",IF(G102="Yes","Offer Declined",IF(F102="Yes","Rejected after Interview",IF(E102="Yes","Not Selected for Interview","Rejected at Screening")))))</f>
        <v/>
      </c>
    </row>
    <row r="103" customFormat="false" ht="15" hidden="false" customHeight="false" outlineLevel="0" collapsed="false">
      <c r="A103" s="25"/>
      <c r="B103" s="25"/>
      <c r="C103" s="25"/>
      <c r="D103" s="26"/>
      <c r="E103" s="27"/>
      <c r="F103" s="27"/>
      <c r="G103" s="27"/>
      <c r="H103" s="27"/>
      <c r="I103" s="26"/>
      <c r="J103" s="23" t="str">
        <f aca="false">IF(A103="","",IF(AND(H103="Yes",I103&lt;&gt;""),I103-D103,""))</f>
        <v/>
      </c>
      <c r="K103" s="24" t="str">
        <f aca="false">IF(A103="","",IF(H103="Yes","Joined",IF(G103="Yes","Offer Declined",IF(F103="Yes","Rejected after Interview",IF(E103="Yes","Not Selected for Interview","Rejected at Screening")))))</f>
        <v/>
      </c>
    </row>
    <row r="104" customFormat="false" ht="15" hidden="false" customHeight="false" outlineLevel="0" collapsed="false">
      <c r="A104" s="25"/>
      <c r="B104" s="25"/>
      <c r="C104" s="25"/>
      <c r="D104" s="26"/>
      <c r="E104" s="27"/>
      <c r="F104" s="27"/>
      <c r="G104" s="27"/>
      <c r="H104" s="27"/>
      <c r="I104" s="26"/>
      <c r="J104" s="23" t="str">
        <f aca="false">IF(A104="","",IF(AND(H104="Yes",I104&lt;&gt;""),I104-D104,""))</f>
        <v/>
      </c>
      <c r="K104" s="24" t="str">
        <f aca="false">IF(A104="","",IF(H104="Yes","Joined",IF(G104="Yes","Offer Declined",IF(F104="Yes","Rejected after Interview",IF(E104="Yes","Not Selected for Interview","Rejected at Screening")))))</f>
        <v/>
      </c>
    </row>
    <row r="105" customFormat="false" ht="15" hidden="false" customHeight="false" outlineLevel="0" collapsed="false">
      <c r="A105" s="25"/>
      <c r="B105" s="25"/>
      <c r="C105" s="25"/>
      <c r="D105" s="26"/>
      <c r="E105" s="27"/>
      <c r="F105" s="27"/>
      <c r="G105" s="27"/>
      <c r="H105" s="27"/>
      <c r="I105" s="26"/>
      <c r="J105" s="23" t="str">
        <f aca="false">IF(A105="","",IF(AND(H105="Yes",I105&lt;&gt;""),I105-D105,""))</f>
        <v/>
      </c>
      <c r="K105" s="24" t="str">
        <f aca="false">IF(A105="","",IF(H105="Yes","Joined",IF(G105="Yes","Offer Declined",IF(F105="Yes","Rejected after Interview",IF(E105="Yes","Not Selected for Interview","Rejected at Screening")))))</f>
        <v/>
      </c>
    </row>
    <row r="106" customFormat="false" ht="15" hidden="false" customHeight="false" outlineLevel="0" collapsed="false">
      <c r="A106" s="25"/>
      <c r="B106" s="25"/>
      <c r="C106" s="25"/>
      <c r="D106" s="26"/>
      <c r="E106" s="27"/>
      <c r="F106" s="27"/>
      <c r="G106" s="27"/>
      <c r="H106" s="27"/>
      <c r="I106" s="26"/>
      <c r="J106" s="23" t="str">
        <f aca="false">IF(A106="","",IF(AND(H106="Yes",I106&lt;&gt;""),I106-D106,""))</f>
        <v/>
      </c>
      <c r="K106" s="24" t="str">
        <f aca="false">IF(A106="","",IF(H106="Yes","Joined",IF(G106="Yes","Offer Declined",IF(F106="Yes","Rejected after Interview",IF(E106="Yes","Not Selected for Interview","Rejected at Screening")))))</f>
        <v/>
      </c>
    </row>
    <row r="107" customFormat="false" ht="15" hidden="false" customHeight="false" outlineLevel="0" collapsed="false">
      <c r="A107" s="25"/>
      <c r="B107" s="25"/>
      <c r="C107" s="25"/>
      <c r="D107" s="26"/>
      <c r="E107" s="27"/>
      <c r="F107" s="27"/>
      <c r="G107" s="27"/>
      <c r="H107" s="27"/>
      <c r="I107" s="26"/>
      <c r="J107" s="23" t="str">
        <f aca="false">IF(A107="","",IF(AND(H107="Yes",I107&lt;&gt;""),I107-D107,""))</f>
        <v/>
      </c>
      <c r="K107" s="24" t="str">
        <f aca="false">IF(A107="","",IF(H107="Yes","Joined",IF(G107="Yes","Offer Declined",IF(F107="Yes","Rejected after Interview",IF(E107="Yes","Not Selected for Interview","Rejected at Screening")))))</f>
        <v/>
      </c>
    </row>
    <row r="108" customFormat="false" ht="15" hidden="false" customHeight="false" outlineLevel="0" collapsed="false">
      <c r="A108" s="25"/>
      <c r="B108" s="25"/>
      <c r="C108" s="25"/>
      <c r="D108" s="26"/>
      <c r="E108" s="27"/>
      <c r="F108" s="27"/>
      <c r="G108" s="27"/>
      <c r="H108" s="27"/>
      <c r="I108" s="26"/>
      <c r="J108" s="23" t="str">
        <f aca="false">IF(A108="","",IF(AND(H108="Yes",I108&lt;&gt;""),I108-D108,""))</f>
        <v/>
      </c>
      <c r="K108" s="24" t="str">
        <f aca="false">IF(A108="","",IF(H108="Yes","Joined",IF(G108="Yes","Offer Declined",IF(F108="Yes","Rejected after Interview",IF(E108="Yes","Not Selected for Interview","Rejected at Screening")))))</f>
        <v/>
      </c>
    </row>
    <row r="109" customFormat="false" ht="15" hidden="false" customHeight="false" outlineLevel="0" collapsed="false">
      <c r="A109" s="25"/>
      <c r="B109" s="25"/>
      <c r="C109" s="25"/>
      <c r="D109" s="26"/>
      <c r="E109" s="27"/>
      <c r="F109" s="27"/>
      <c r="G109" s="27"/>
      <c r="H109" s="27"/>
      <c r="I109" s="26"/>
      <c r="J109" s="23" t="str">
        <f aca="false">IF(A109="","",IF(AND(H109="Yes",I109&lt;&gt;""),I109-D109,""))</f>
        <v/>
      </c>
      <c r="K109" s="24" t="str">
        <f aca="false">IF(A109="","",IF(H109="Yes","Joined",IF(G109="Yes","Offer Declined",IF(F109="Yes","Rejected after Interview",IF(E109="Yes","Not Selected for Interview","Rejected at Screening")))))</f>
        <v/>
      </c>
    </row>
    <row r="110" customFormat="false" ht="15" hidden="false" customHeight="false" outlineLevel="0" collapsed="false">
      <c r="A110" s="25"/>
      <c r="B110" s="25"/>
      <c r="C110" s="25"/>
      <c r="D110" s="26"/>
      <c r="E110" s="27"/>
      <c r="F110" s="27"/>
      <c r="G110" s="27"/>
      <c r="H110" s="27"/>
      <c r="I110" s="26"/>
      <c r="J110" s="23" t="str">
        <f aca="false">IF(A110="","",IF(AND(H110="Yes",I110&lt;&gt;""),I110-D110,""))</f>
        <v/>
      </c>
      <c r="K110" s="24" t="str">
        <f aca="false">IF(A110="","",IF(H110="Yes","Joined",IF(G110="Yes","Offer Declined",IF(F110="Yes","Rejected after Interview",IF(E110="Yes","Not Selected for Interview","Rejected at Screening")))))</f>
        <v/>
      </c>
    </row>
    <row r="111" customFormat="false" ht="15" hidden="false" customHeight="false" outlineLevel="0" collapsed="false">
      <c r="A111" s="25"/>
      <c r="B111" s="25"/>
      <c r="C111" s="25"/>
      <c r="D111" s="26"/>
      <c r="E111" s="27"/>
      <c r="F111" s="27"/>
      <c r="G111" s="27"/>
      <c r="H111" s="27"/>
      <c r="I111" s="26"/>
      <c r="J111" s="23" t="str">
        <f aca="false">IF(A111="","",IF(AND(H111="Yes",I111&lt;&gt;""),I111-D111,""))</f>
        <v/>
      </c>
      <c r="K111" s="24" t="str">
        <f aca="false">IF(A111="","",IF(H111="Yes","Joined",IF(G111="Yes","Offer Declined",IF(F111="Yes","Rejected after Interview",IF(E111="Yes","Not Selected for Interview","Rejected at Screening")))))</f>
        <v/>
      </c>
    </row>
    <row r="112" customFormat="false" ht="15" hidden="false" customHeight="false" outlineLevel="0" collapsed="false">
      <c r="A112" s="25"/>
      <c r="B112" s="25"/>
      <c r="C112" s="25"/>
      <c r="D112" s="26"/>
      <c r="E112" s="27"/>
      <c r="F112" s="27"/>
      <c r="G112" s="27"/>
      <c r="H112" s="27"/>
      <c r="I112" s="26"/>
      <c r="J112" s="23" t="str">
        <f aca="false">IF(A112="","",IF(AND(H112="Yes",I112&lt;&gt;""),I112-D112,""))</f>
        <v/>
      </c>
      <c r="K112" s="24" t="str">
        <f aca="false">IF(A112="","",IF(H112="Yes","Joined",IF(G112="Yes","Offer Declined",IF(F112="Yes","Rejected after Interview",IF(E112="Yes","Not Selected for Interview","Rejected at Screening")))))</f>
        <v/>
      </c>
    </row>
    <row r="113" customFormat="false" ht="15" hidden="false" customHeight="false" outlineLevel="0" collapsed="false">
      <c r="A113" s="25"/>
      <c r="B113" s="25"/>
      <c r="C113" s="25"/>
      <c r="D113" s="26"/>
      <c r="E113" s="27"/>
      <c r="F113" s="27"/>
      <c r="G113" s="27"/>
      <c r="H113" s="27"/>
      <c r="I113" s="26"/>
      <c r="J113" s="23" t="str">
        <f aca="false">IF(A113="","",IF(AND(H113="Yes",I113&lt;&gt;""),I113-D113,""))</f>
        <v/>
      </c>
      <c r="K113" s="24" t="str">
        <f aca="false">IF(A113="","",IF(H113="Yes","Joined",IF(G113="Yes","Offer Declined",IF(F113="Yes","Rejected after Interview",IF(E113="Yes","Not Selected for Interview","Rejected at Screening")))))</f>
        <v/>
      </c>
    </row>
    <row r="114" customFormat="false" ht="15" hidden="false" customHeight="false" outlineLevel="0" collapsed="false">
      <c r="A114" s="25"/>
      <c r="B114" s="25"/>
      <c r="C114" s="25"/>
      <c r="D114" s="26"/>
      <c r="E114" s="27"/>
      <c r="F114" s="27"/>
      <c r="G114" s="27"/>
      <c r="H114" s="27"/>
      <c r="I114" s="26"/>
      <c r="J114" s="23" t="str">
        <f aca="false">IF(A114="","",IF(AND(H114="Yes",I114&lt;&gt;""),I114-D114,""))</f>
        <v/>
      </c>
      <c r="K114" s="24" t="str">
        <f aca="false">IF(A114="","",IF(H114="Yes","Joined",IF(G114="Yes","Offer Declined",IF(F114="Yes","Rejected after Interview",IF(E114="Yes","Not Selected for Interview","Rejected at Screening")))))</f>
        <v/>
      </c>
    </row>
    <row r="115" customFormat="false" ht="15" hidden="false" customHeight="false" outlineLevel="0" collapsed="false">
      <c r="A115" s="25"/>
      <c r="B115" s="25"/>
      <c r="C115" s="25"/>
      <c r="D115" s="26"/>
      <c r="E115" s="27"/>
      <c r="F115" s="27"/>
      <c r="G115" s="27"/>
      <c r="H115" s="27"/>
      <c r="I115" s="26"/>
      <c r="J115" s="23" t="str">
        <f aca="false">IF(A115="","",IF(AND(H115="Yes",I115&lt;&gt;""),I115-D115,""))</f>
        <v/>
      </c>
      <c r="K115" s="24" t="str">
        <f aca="false">IF(A115="","",IF(H115="Yes","Joined",IF(G115="Yes","Offer Declined",IF(F115="Yes","Rejected after Interview",IF(E115="Yes","Not Selected for Interview","Rejected at Screening")))))</f>
        <v/>
      </c>
    </row>
    <row r="116" customFormat="false" ht="15" hidden="false" customHeight="false" outlineLevel="0" collapsed="false">
      <c r="A116" s="25"/>
      <c r="B116" s="25"/>
      <c r="C116" s="25"/>
      <c r="D116" s="26"/>
      <c r="E116" s="27"/>
      <c r="F116" s="27"/>
      <c r="G116" s="27"/>
      <c r="H116" s="27"/>
      <c r="I116" s="26"/>
      <c r="J116" s="23" t="str">
        <f aca="false">IF(A116="","",IF(AND(H116="Yes",I116&lt;&gt;""),I116-D116,""))</f>
        <v/>
      </c>
      <c r="K116" s="24" t="str">
        <f aca="false">IF(A116="","",IF(H116="Yes","Joined",IF(G116="Yes","Offer Declined",IF(F116="Yes","Rejected after Interview",IF(E116="Yes","Not Selected for Interview","Rejected at Screening")))))</f>
        <v/>
      </c>
    </row>
    <row r="117" customFormat="false" ht="15" hidden="false" customHeight="false" outlineLevel="0" collapsed="false">
      <c r="A117" s="25"/>
      <c r="B117" s="25"/>
      <c r="C117" s="25"/>
      <c r="D117" s="26"/>
      <c r="E117" s="27"/>
      <c r="F117" s="27"/>
      <c r="G117" s="27"/>
      <c r="H117" s="27"/>
      <c r="I117" s="26"/>
      <c r="J117" s="23" t="str">
        <f aca="false">IF(A117="","",IF(AND(H117="Yes",I117&lt;&gt;""),I117-D117,""))</f>
        <v/>
      </c>
      <c r="K117" s="24" t="str">
        <f aca="false">IF(A117="","",IF(H117="Yes","Joined",IF(G117="Yes","Offer Declined",IF(F117="Yes","Rejected after Interview",IF(E117="Yes","Not Selected for Interview","Rejected at Screening")))))</f>
        <v/>
      </c>
    </row>
    <row r="118" customFormat="false" ht="15" hidden="false" customHeight="false" outlineLevel="0" collapsed="false">
      <c r="A118" s="25"/>
      <c r="B118" s="25"/>
      <c r="C118" s="25"/>
      <c r="D118" s="26"/>
      <c r="E118" s="27"/>
      <c r="F118" s="27"/>
      <c r="G118" s="27"/>
      <c r="H118" s="27"/>
      <c r="I118" s="26"/>
      <c r="J118" s="23" t="str">
        <f aca="false">IF(A118="","",IF(AND(H118="Yes",I118&lt;&gt;""),I118-D118,""))</f>
        <v/>
      </c>
      <c r="K118" s="24" t="str">
        <f aca="false">IF(A118="","",IF(H118="Yes","Joined",IF(G118="Yes","Offer Declined",IF(F118="Yes","Rejected after Interview",IF(E118="Yes","Not Selected for Interview","Rejected at Screening")))))</f>
        <v/>
      </c>
    </row>
    <row r="119" customFormat="false" ht="15" hidden="false" customHeight="false" outlineLevel="0" collapsed="false">
      <c r="A119" s="25"/>
      <c r="B119" s="25"/>
      <c r="C119" s="25"/>
      <c r="D119" s="26"/>
      <c r="E119" s="27"/>
      <c r="F119" s="27"/>
      <c r="G119" s="27"/>
      <c r="H119" s="27"/>
      <c r="I119" s="26"/>
      <c r="J119" s="23" t="str">
        <f aca="false">IF(A119="","",IF(AND(H119="Yes",I119&lt;&gt;""),I119-D119,""))</f>
        <v/>
      </c>
      <c r="K119" s="24" t="str">
        <f aca="false">IF(A119="","",IF(H119="Yes","Joined",IF(G119="Yes","Offer Declined",IF(F119="Yes","Rejected after Interview",IF(E119="Yes","Not Selected for Interview","Rejected at Screening")))))</f>
        <v/>
      </c>
    </row>
    <row r="120" customFormat="false" ht="15" hidden="false" customHeight="false" outlineLevel="0" collapsed="false">
      <c r="A120" s="25"/>
      <c r="B120" s="25"/>
      <c r="C120" s="25"/>
      <c r="D120" s="26"/>
      <c r="E120" s="27"/>
      <c r="F120" s="27"/>
      <c r="G120" s="27"/>
      <c r="H120" s="27"/>
      <c r="I120" s="26"/>
      <c r="J120" s="23" t="str">
        <f aca="false">IF(A120="","",IF(AND(H120="Yes",I120&lt;&gt;""),I120-D120,""))</f>
        <v/>
      </c>
      <c r="K120" s="24" t="str">
        <f aca="false">IF(A120="","",IF(H120="Yes","Joined",IF(G120="Yes","Offer Declined",IF(F120="Yes","Rejected after Interview",IF(E120="Yes","Not Selected for Interview","Rejected at Screening")))))</f>
        <v/>
      </c>
    </row>
    <row r="121" customFormat="false" ht="15" hidden="false" customHeight="false" outlineLevel="0" collapsed="false">
      <c r="A121" s="25"/>
      <c r="B121" s="25"/>
      <c r="C121" s="25"/>
      <c r="D121" s="26"/>
      <c r="E121" s="27"/>
      <c r="F121" s="27"/>
      <c r="G121" s="27"/>
      <c r="H121" s="27"/>
      <c r="I121" s="26"/>
      <c r="J121" s="23" t="str">
        <f aca="false">IF(A121="","",IF(AND(H121="Yes",I121&lt;&gt;""),I121-D121,""))</f>
        <v/>
      </c>
      <c r="K121" s="24" t="str">
        <f aca="false">IF(A121="","",IF(H121="Yes","Joined",IF(G121="Yes","Offer Declined",IF(F121="Yes","Rejected after Interview",IF(E121="Yes","Not Selected for Interview","Rejected at Screening")))))</f>
        <v/>
      </c>
    </row>
    <row r="122" customFormat="false" ht="15" hidden="false" customHeight="false" outlineLevel="0" collapsed="false">
      <c r="A122" s="25"/>
      <c r="B122" s="25"/>
      <c r="C122" s="25"/>
      <c r="D122" s="26"/>
      <c r="E122" s="27"/>
      <c r="F122" s="27"/>
      <c r="G122" s="27"/>
      <c r="H122" s="27"/>
      <c r="I122" s="26"/>
      <c r="J122" s="23" t="str">
        <f aca="false">IF(A122="","",IF(AND(H122="Yes",I122&lt;&gt;""),I122-D122,""))</f>
        <v/>
      </c>
      <c r="K122" s="24" t="str">
        <f aca="false">IF(A122="","",IF(H122="Yes","Joined",IF(G122="Yes","Offer Declined",IF(F122="Yes","Rejected after Interview",IF(E122="Yes","Not Selected for Interview","Rejected at Screening")))))</f>
        <v/>
      </c>
    </row>
    <row r="123" customFormat="false" ht="15" hidden="false" customHeight="false" outlineLevel="0" collapsed="false">
      <c r="A123" s="25"/>
      <c r="B123" s="25"/>
      <c r="C123" s="25"/>
      <c r="D123" s="26"/>
      <c r="E123" s="27"/>
      <c r="F123" s="27"/>
      <c r="G123" s="27"/>
      <c r="H123" s="27"/>
      <c r="I123" s="26"/>
      <c r="J123" s="23" t="str">
        <f aca="false">IF(A123="","",IF(AND(H123="Yes",I123&lt;&gt;""),I123-D123,""))</f>
        <v/>
      </c>
      <c r="K123" s="24" t="str">
        <f aca="false">IF(A123="","",IF(H123="Yes","Joined",IF(G123="Yes","Offer Declined",IF(F123="Yes","Rejected after Interview",IF(E123="Yes","Not Selected for Interview","Rejected at Screening")))))</f>
        <v/>
      </c>
    </row>
    <row r="124" customFormat="false" ht="15" hidden="false" customHeight="false" outlineLevel="0" collapsed="false">
      <c r="A124" s="25"/>
      <c r="B124" s="25"/>
      <c r="C124" s="25"/>
      <c r="D124" s="26"/>
      <c r="E124" s="27"/>
      <c r="F124" s="27"/>
      <c r="G124" s="27"/>
      <c r="H124" s="27"/>
      <c r="I124" s="26"/>
      <c r="J124" s="23" t="str">
        <f aca="false">IF(A124="","",IF(AND(H124="Yes",I124&lt;&gt;""),I124-D124,""))</f>
        <v/>
      </c>
      <c r="K124" s="24" t="str">
        <f aca="false">IF(A124="","",IF(H124="Yes","Joined",IF(G124="Yes","Offer Declined",IF(F124="Yes","Rejected after Interview",IF(E124="Yes","Not Selected for Interview","Rejected at Screening")))))</f>
        <v/>
      </c>
    </row>
    <row r="125" customFormat="false" ht="15" hidden="false" customHeight="false" outlineLevel="0" collapsed="false">
      <c r="A125" s="25"/>
      <c r="B125" s="25"/>
      <c r="C125" s="25"/>
      <c r="D125" s="26"/>
      <c r="E125" s="27"/>
      <c r="F125" s="27"/>
      <c r="G125" s="27"/>
      <c r="H125" s="27"/>
      <c r="I125" s="26"/>
      <c r="J125" s="23" t="str">
        <f aca="false">IF(A125="","",IF(AND(H125="Yes",I125&lt;&gt;""),I125-D125,""))</f>
        <v/>
      </c>
      <c r="K125" s="24" t="str">
        <f aca="false">IF(A125="","",IF(H125="Yes","Joined",IF(G125="Yes","Offer Declined",IF(F125="Yes","Rejected after Interview",IF(E125="Yes","Not Selected for Interview","Rejected at Screening")))))</f>
        <v/>
      </c>
    </row>
    <row r="126" customFormat="false" ht="15" hidden="false" customHeight="false" outlineLevel="0" collapsed="false">
      <c r="A126" s="25"/>
      <c r="B126" s="25"/>
      <c r="C126" s="25"/>
      <c r="D126" s="26"/>
      <c r="E126" s="27"/>
      <c r="F126" s="27"/>
      <c r="G126" s="27"/>
      <c r="H126" s="27"/>
      <c r="I126" s="26"/>
      <c r="J126" s="23" t="str">
        <f aca="false">IF(A126="","",IF(AND(H126="Yes",I126&lt;&gt;""),I126-D126,""))</f>
        <v/>
      </c>
      <c r="K126" s="24" t="str">
        <f aca="false">IF(A126="","",IF(H126="Yes","Joined",IF(G126="Yes","Offer Declined",IF(F126="Yes","Rejected after Interview",IF(E126="Yes","Not Selected for Interview","Rejected at Screening")))))</f>
        <v/>
      </c>
    </row>
    <row r="127" customFormat="false" ht="15" hidden="false" customHeight="false" outlineLevel="0" collapsed="false">
      <c r="A127" s="25"/>
      <c r="B127" s="25"/>
      <c r="C127" s="25"/>
      <c r="D127" s="26"/>
      <c r="E127" s="27"/>
      <c r="F127" s="27"/>
      <c r="G127" s="27"/>
      <c r="H127" s="27"/>
      <c r="I127" s="26"/>
      <c r="J127" s="23" t="str">
        <f aca="false">IF(A127="","",IF(AND(H127="Yes",I127&lt;&gt;""),I127-D127,""))</f>
        <v/>
      </c>
      <c r="K127" s="24" t="str">
        <f aca="false">IF(A127="","",IF(H127="Yes","Joined",IF(G127="Yes","Offer Declined",IF(F127="Yes","Rejected after Interview",IF(E127="Yes","Not Selected for Interview","Rejected at Screening")))))</f>
        <v/>
      </c>
    </row>
    <row r="128" customFormat="false" ht="15" hidden="false" customHeight="false" outlineLevel="0" collapsed="false">
      <c r="A128" s="25"/>
      <c r="B128" s="25"/>
      <c r="C128" s="25"/>
      <c r="D128" s="26"/>
      <c r="E128" s="27"/>
      <c r="F128" s="27"/>
      <c r="G128" s="27"/>
      <c r="H128" s="27"/>
      <c r="I128" s="26"/>
      <c r="J128" s="23" t="str">
        <f aca="false">IF(A128="","",IF(AND(H128="Yes",I128&lt;&gt;""),I128-D128,""))</f>
        <v/>
      </c>
      <c r="K128" s="24" t="str">
        <f aca="false">IF(A128="","",IF(H128="Yes","Joined",IF(G128="Yes","Offer Declined",IF(F128="Yes","Rejected after Interview",IF(E128="Yes","Not Selected for Interview","Rejected at Screening")))))</f>
        <v/>
      </c>
    </row>
    <row r="129" customFormat="false" ht="15" hidden="false" customHeight="false" outlineLevel="0" collapsed="false">
      <c r="A129" s="25"/>
      <c r="B129" s="25"/>
      <c r="C129" s="25"/>
      <c r="D129" s="26"/>
      <c r="E129" s="27"/>
      <c r="F129" s="27"/>
      <c r="G129" s="27"/>
      <c r="H129" s="27"/>
      <c r="I129" s="26"/>
      <c r="J129" s="23" t="str">
        <f aca="false">IF(A129="","",IF(AND(H129="Yes",I129&lt;&gt;""),I129-D129,""))</f>
        <v/>
      </c>
      <c r="K129" s="24" t="str">
        <f aca="false">IF(A129="","",IF(H129="Yes","Joined",IF(G129="Yes","Offer Declined",IF(F129="Yes","Rejected after Interview",IF(E129="Yes","Not Selected for Interview","Rejected at Screening")))))</f>
        <v/>
      </c>
    </row>
    <row r="130" customFormat="false" ht="15" hidden="false" customHeight="false" outlineLevel="0" collapsed="false">
      <c r="A130" s="25"/>
      <c r="B130" s="25"/>
      <c r="C130" s="25"/>
      <c r="D130" s="26"/>
      <c r="E130" s="27"/>
      <c r="F130" s="27"/>
      <c r="G130" s="27"/>
      <c r="H130" s="27"/>
      <c r="I130" s="26"/>
      <c r="J130" s="23" t="str">
        <f aca="false">IF(A130="","",IF(AND(H130="Yes",I130&lt;&gt;""),I130-D130,""))</f>
        <v/>
      </c>
      <c r="K130" s="24" t="str">
        <f aca="false">IF(A130="","",IF(H130="Yes","Joined",IF(G130="Yes","Offer Declined",IF(F130="Yes","Rejected after Interview",IF(E130="Yes","Not Selected for Interview","Rejected at Screening")))))</f>
        <v/>
      </c>
    </row>
    <row r="131" customFormat="false" ht="15" hidden="false" customHeight="false" outlineLevel="0" collapsed="false">
      <c r="A131" s="25"/>
      <c r="B131" s="25"/>
      <c r="C131" s="25"/>
      <c r="D131" s="26"/>
      <c r="E131" s="27"/>
      <c r="F131" s="27"/>
      <c r="G131" s="27"/>
      <c r="H131" s="27"/>
      <c r="I131" s="26"/>
      <c r="J131" s="23" t="str">
        <f aca="false">IF(A131="","",IF(AND(H131="Yes",I131&lt;&gt;""),I131-D131,""))</f>
        <v/>
      </c>
      <c r="K131" s="24" t="str">
        <f aca="false">IF(A131="","",IF(H131="Yes","Joined",IF(G131="Yes","Offer Declined",IF(F131="Yes","Rejected after Interview",IF(E131="Yes","Not Selected for Interview","Rejected at Screening")))))</f>
        <v/>
      </c>
    </row>
    <row r="132" customFormat="false" ht="15" hidden="false" customHeight="false" outlineLevel="0" collapsed="false">
      <c r="A132" s="25"/>
      <c r="B132" s="25"/>
      <c r="C132" s="25"/>
      <c r="D132" s="26"/>
      <c r="E132" s="27"/>
      <c r="F132" s="27"/>
      <c r="G132" s="27"/>
      <c r="H132" s="27"/>
      <c r="I132" s="26"/>
      <c r="J132" s="23" t="str">
        <f aca="false">IF(A132="","",IF(AND(H132="Yes",I132&lt;&gt;""),I132-D132,""))</f>
        <v/>
      </c>
      <c r="K132" s="24" t="str">
        <f aca="false">IF(A132="","",IF(H132="Yes","Joined",IF(G132="Yes","Offer Declined",IF(F132="Yes","Rejected after Interview",IF(E132="Yes","Not Selected for Interview","Rejected at Screening")))))</f>
        <v/>
      </c>
    </row>
    <row r="133" customFormat="false" ht="15" hidden="false" customHeight="false" outlineLevel="0" collapsed="false">
      <c r="A133" s="25"/>
      <c r="B133" s="25"/>
      <c r="C133" s="25"/>
      <c r="D133" s="26"/>
      <c r="E133" s="27"/>
      <c r="F133" s="27"/>
      <c r="G133" s="27"/>
      <c r="H133" s="27"/>
      <c r="I133" s="26"/>
      <c r="J133" s="23" t="str">
        <f aca="false">IF(A133="","",IF(AND(H133="Yes",I133&lt;&gt;""),I133-D133,""))</f>
        <v/>
      </c>
      <c r="K133" s="24" t="str">
        <f aca="false">IF(A133="","",IF(H133="Yes","Joined",IF(G133="Yes","Offer Declined",IF(F133="Yes","Rejected after Interview",IF(E133="Yes","Not Selected for Interview","Rejected at Screening")))))</f>
        <v/>
      </c>
    </row>
    <row r="134" customFormat="false" ht="15" hidden="false" customHeight="false" outlineLevel="0" collapsed="false">
      <c r="A134" s="25"/>
      <c r="B134" s="25"/>
      <c r="C134" s="25"/>
      <c r="D134" s="26"/>
      <c r="E134" s="27"/>
      <c r="F134" s="27"/>
      <c r="G134" s="27"/>
      <c r="H134" s="27"/>
      <c r="I134" s="26"/>
      <c r="J134" s="23" t="str">
        <f aca="false">IF(A134="","",IF(AND(H134="Yes",I134&lt;&gt;""),I134-D134,""))</f>
        <v/>
      </c>
      <c r="K134" s="24" t="str">
        <f aca="false">IF(A134="","",IF(H134="Yes","Joined",IF(G134="Yes","Offer Declined",IF(F134="Yes","Rejected after Interview",IF(E134="Yes","Not Selected for Interview","Rejected at Screening")))))</f>
        <v/>
      </c>
    </row>
    <row r="135" customFormat="false" ht="15" hidden="false" customHeight="false" outlineLevel="0" collapsed="false">
      <c r="A135" s="25"/>
      <c r="B135" s="25"/>
      <c r="C135" s="25"/>
      <c r="D135" s="26"/>
      <c r="E135" s="27"/>
      <c r="F135" s="27"/>
      <c r="G135" s="27"/>
      <c r="H135" s="27"/>
      <c r="I135" s="26"/>
      <c r="J135" s="23" t="str">
        <f aca="false">IF(A135="","",IF(AND(H135="Yes",I135&lt;&gt;""),I135-D135,""))</f>
        <v/>
      </c>
      <c r="K135" s="24" t="str">
        <f aca="false">IF(A135="","",IF(H135="Yes","Joined",IF(G135="Yes","Offer Declined",IF(F135="Yes","Rejected after Interview",IF(E135="Yes","Not Selected for Interview","Rejected at Screening")))))</f>
        <v/>
      </c>
    </row>
    <row r="136" customFormat="false" ht="15" hidden="false" customHeight="false" outlineLevel="0" collapsed="false">
      <c r="A136" s="25"/>
      <c r="B136" s="25"/>
      <c r="C136" s="25"/>
      <c r="D136" s="26"/>
      <c r="E136" s="27"/>
      <c r="F136" s="27"/>
      <c r="G136" s="27"/>
      <c r="H136" s="27"/>
      <c r="I136" s="26"/>
      <c r="J136" s="23" t="str">
        <f aca="false">IF(A136="","",IF(AND(H136="Yes",I136&lt;&gt;""),I136-D136,""))</f>
        <v/>
      </c>
      <c r="K136" s="24" t="str">
        <f aca="false">IF(A136="","",IF(H136="Yes","Joined",IF(G136="Yes","Offer Declined",IF(F136="Yes","Rejected after Interview",IF(E136="Yes","Not Selected for Interview","Rejected at Screening")))))</f>
        <v/>
      </c>
    </row>
    <row r="137" customFormat="false" ht="15" hidden="false" customHeight="false" outlineLevel="0" collapsed="false">
      <c r="A137" s="25"/>
      <c r="B137" s="25"/>
      <c r="C137" s="25"/>
      <c r="D137" s="26"/>
      <c r="E137" s="27"/>
      <c r="F137" s="27"/>
      <c r="G137" s="27"/>
      <c r="H137" s="27"/>
      <c r="I137" s="26"/>
      <c r="J137" s="23" t="str">
        <f aca="false">IF(A137="","",IF(AND(H137="Yes",I137&lt;&gt;""),I137-D137,""))</f>
        <v/>
      </c>
      <c r="K137" s="24" t="str">
        <f aca="false">IF(A137="","",IF(H137="Yes","Joined",IF(G137="Yes","Offer Declined",IF(F137="Yes","Rejected after Interview",IF(E137="Yes","Not Selected for Interview","Rejected at Screening")))))</f>
        <v/>
      </c>
    </row>
    <row r="138" customFormat="false" ht="15" hidden="false" customHeight="false" outlineLevel="0" collapsed="false">
      <c r="A138" s="25"/>
      <c r="B138" s="25"/>
      <c r="C138" s="25"/>
      <c r="D138" s="26"/>
      <c r="E138" s="27"/>
      <c r="F138" s="27"/>
      <c r="G138" s="27"/>
      <c r="H138" s="27"/>
      <c r="I138" s="26"/>
      <c r="J138" s="23" t="str">
        <f aca="false">IF(A138="","",IF(AND(H138="Yes",I138&lt;&gt;""),I138-D138,""))</f>
        <v/>
      </c>
      <c r="K138" s="24" t="str">
        <f aca="false">IF(A138="","",IF(H138="Yes","Joined",IF(G138="Yes","Offer Declined",IF(F138="Yes","Rejected after Interview",IF(E138="Yes","Not Selected for Interview","Rejected at Screening")))))</f>
        <v/>
      </c>
    </row>
    <row r="139" customFormat="false" ht="15" hidden="false" customHeight="false" outlineLevel="0" collapsed="false">
      <c r="A139" s="25"/>
      <c r="B139" s="25"/>
      <c r="C139" s="25"/>
      <c r="D139" s="26"/>
      <c r="E139" s="27"/>
      <c r="F139" s="27"/>
      <c r="G139" s="27"/>
      <c r="H139" s="27"/>
      <c r="I139" s="26"/>
      <c r="J139" s="23" t="str">
        <f aca="false">IF(A139="","",IF(AND(H139="Yes",I139&lt;&gt;""),I139-D139,""))</f>
        <v/>
      </c>
      <c r="K139" s="24" t="str">
        <f aca="false">IF(A139="","",IF(H139="Yes","Joined",IF(G139="Yes","Offer Declined",IF(F139="Yes","Rejected after Interview",IF(E139="Yes","Not Selected for Interview","Rejected at Screening")))))</f>
        <v/>
      </c>
    </row>
    <row r="140" customFormat="false" ht="15" hidden="false" customHeight="false" outlineLevel="0" collapsed="false">
      <c r="A140" s="25"/>
      <c r="B140" s="25"/>
      <c r="C140" s="25"/>
      <c r="D140" s="26"/>
      <c r="E140" s="27"/>
      <c r="F140" s="27"/>
      <c r="G140" s="27"/>
      <c r="H140" s="27"/>
      <c r="I140" s="26"/>
      <c r="J140" s="23" t="str">
        <f aca="false">IF(A140="","",IF(AND(H140="Yes",I140&lt;&gt;""),I140-D140,""))</f>
        <v/>
      </c>
      <c r="K140" s="24" t="str">
        <f aca="false">IF(A140="","",IF(H140="Yes","Joined",IF(G140="Yes","Offer Declined",IF(F140="Yes","Rejected after Interview",IF(E140="Yes","Not Selected for Interview","Rejected at Screening")))))</f>
        <v/>
      </c>
    </row>
    <row r="141" customFormat="false" ht="15" hidden="false" customHeight="false" outlineLevel="0" collapsed="false">
      <c r="A141" s="25"/>
      <c r="B141" s="25"/>
      <c r="C141" s="25"/>
      <c r="D141" s="26"/>
      <c r="E141" s="27"/>
      <c r="F141" s="27"/>
      <c r="G141" s="27"/>
      <c r="H141" s="27"/>
      <c r="I141" s="26"/>
      <c r="J141" s="23" t="str">
        <f aca="false">IF(A141="","",IF(AND(H141="Yes",I141&lt;&gt;""),I141-D141,""))</f>
        <v/>
      </c>
      <c r="K141" s="24" t="str">
        <f aca="false">IF(A141="","",IF(H141="Yes","Joined",IF(G141="Yes","Offer Declined",IF(F141="Yes","Rejected after Interview",IF(E141="Yes","Not Selected for Interview","Rejected at Screening")))))</f>
        <v/>
      </c>
    </row>
    <row r="142" customFormat="false" ht="15" hidden="false" customHeight="false" outlineLevel="0" collapsed="false">
      <c r="A142" s="25"/>
      <c r="B142" s="25"/>
      <c r="C142" s="25"/>
      <c r="D142" s="26"/>
      <c r="E142" s="27"/>
      <c r="F142" s="27"/>
      <c r="G142" s="27"/>
      <c r="H142" s="27"/>
      <c r="I142" s="26"/>
      <c r="J142" s="23" t="str">
        <f aca="false">IF(A142="","",IF(AND(H142="Yes",I142&lt;&gt;""),I142-D142,""))</f>
        <v/>
      </c>
      <c r="K142" s="24" t="str">
        <f aca="false">IF(A142="","",IF(H142="Yes","Joined",IF(G142="Yes","Offer Declined",IF(F142="Yes","Rejected after Interview",IF(E142="Yes","Not Selected for Interview","Rejected at Screening")))))</f>
        <v/>
      </c>
    </row>
    <row r="143" customFormat="false" ht="15" hidden="false" customHeight="false" outlineLevel="0" collapsed="false">
      <c r="A143" s="25"/>
      <c r="B143" s="25"/>
      <c r="C143" s="25"/>
      <c r="D143" s="26"/>
      <c r="E143" s="27"/>
      <c r="F143" s="27"/>
      <c r="G143" s="27"/>
      <c r="H143" s="27"/>
      <c r="I143" s="26"/>
      <c r="J143" s="23" t="str">
        <f aca="false">IF(A143="","",IF(AND(H143="Yes",I143&lt;&gt;""),I143-D143,""))</f>
        <v/>
      </c>
      <c r="K143" s="24" t="str">
        <f aca="false">IF(A143="","",IF(H143="Yes","Joined",IF(G143="Yes","Offer Declined",IF(F143="Yes","Rejected after Interview",IF(E143="Yes","Not Selected for Interview","Rejected at Screening")))))</f>
        <v/>
      </c>
    </row>
    <row r="144" customFormat="false" ht="15" hidden="false" customHeight="false" outlineLevel="0" collapsed="false">
      <c r="A144" s="25"/>
      <c r="B144" s="25"/>
      <c r="C144" s="25"/>
      <c r="D144" s="26"/>
      <c r="E144" s="27"/>
      <c r="F144" s="27"/>
      <c r="G144" s="27"/>
      <c r="H144" s="27"/>
      <c r="I144" s="26"/>
      <c r="J144" s="23" t="str">
        <f aca="false">IF(A144="","",IF(AND(H144="Yes",I144&lt;&gt;""),I144-D144,""))</f>
        <v/>
      </c>
      <c r="K144" s="24" t="str">
        <f aca="false">IF(A144="","",IF(H144="Yes","Joined",IF(G144="Yes","Offer Declined",IF(F144="Yes","Rejected after Interview",IF(E144="Yes","Not Selected for Interview","Rejected at Screening")))))</f>
        <v/>
      </c>
    </row>
    <row r="145" customFormat="false" ht="15" hidden="false" customHeight="false" outlineLevel="0" collapsed="false">
      <c r="A145" s="25"/>
      <c r="B145" s="25"/>
      <c r="C145" s="25"/>
      <c r="D145" s="26"/>
      <c r="E145" s="27"/>
      <c r="F145" s="27"/>
      <c r="G145" s="27"/>
      <c r="H145" s="27"/>
      <c r="I145" s="26"/>
      <c r="J145" s="23" t="str">
        <f aca="false">IF(A145="","",IF(AND(H145="Yes",I145&lt;&gt;""),I145-D145,""))</f>
        <v/>
      </c>
      <c r="K145" s="24" t="str">
        <f aca="false">IF(A145="","",IF(H145="Yes","Joined",IF(G145="Yes","Offer Declined",IF(F145="Yes","Rejected after Interview",IF(E145="Yes","Not Selected for Interview","Rejected at Screening")))))</f>
        <v/>
      </c>
    </row>
    <row r="146" customFormat="false" ht="15" hidden="false" customHeight="false" outlineLevel="0" collapsed="false">
      <c r="A146" s="25"/>
      <c r="B146" s="25"/>
      <c r="C146" s="25"/>
      <c r="D146" s="26"/>
      <c r="E146" s="27"/>
      <c r="F146" s="27"/>
      <c r="G146" s="27"/>
      <c r="H146" s="27"/>
      <c r="I146" s="26"/>
      <c r="J146" s="23" t="str">
        <f aca="false">IF(A146="","",IF(AND(H146="Yes",I146&lt;&gt;""),I146-D146,""))</f>
        <v/>
      </c>
      <c r="K146" s="24" t="str">
        <f aca="false">IF(A146="","",IF(H146="Yes","Joined",IF(G146="Yes","Offer Declined",IF(F146="Yes","Rejected after Interview",IF(E146="Yes","Not Selected for Interview","Rejected at Screening")))))</f>
        <v/>
      </c>
    </row>
    <row r="147" customFormat="false" ht="15" hidden="false" customHeight="false" outlineLevel="0" collapsed="false">
      <c r="A147" s="25"/>
      <c r="B147" s="25"/>
      <c r="C147" s="25"/>
      <c r="D147" s="26"/>
      <c r="E147" s="27"/>
      <c r="F147" s="27"/>
      <c r="G147" s="27"/>
      <c r="H147" s="27"/>
      <c r="I147" s="26"/>
      <c r="J147" s="23" t="str">
        <f aca="false">IF(A147="","",IF(AND(H147="Yes",I147&lt;&gt;""),I147-D147,""))</f>
        <v/>
      </c>
      <c r="K147" s="24" t="str">
        <f aca="false">IF(A147="","",IF(H147="Yes","Joined",IF(G147="Yes","Offer Declined",IF(F147="Yes","Rejected after Interview",IF(E147="Yes","Not Selected for Interview","Rejected at Screening")))))</f>
        <v/>
      </c>
    </row>
    <row r="148" customFormat="false" ht="15" hidden="false" customHeight="false" outlineLevel="0" collapsed="false">
      <c r="A148" s="25"/>
      <c r="B148" s="25"/>
      <c r="C148" s="25"/>
      <c r="D148" s="26"/>
      <c r="E148" s="27"/>
      <c r="F148" s="27"/>
      <c r="G148" s="27"/>
      <c r="H148" s="27"/>
      <c r="I148" s="26"/>
      <c r="J148" s="23" t="str">
        <f aca="false">IF(A148="","",IF(AND(H148="Yes",I148&lt;&gt;""),I148-D148,""))</f>
        <v/>
      </c>
      <c r="K148" s="24" t="str">
        <f aca="false">IF(A148="","",IF(H148="Yes","Joined",IF(G148="Yes","Offer Declined",IF(F148="Yes","Rejected after Interview",IF(E148="Yes","Not Selected for Interview","Rejected at Screening")))))</f>
        <v/>
      </c>
    </row>
    <row r="149" customFormat="false" ht="15" hidden="false" customHeight="false" outlineLevel="0" collapsed="false">
      <c r="A149" s="25"/>
      <c r="B149" s="25"/>
      <c r="C149" s="25"/>
      <c r="D149" s="26"/>
      <c r="E149" s="27"/>
      <c r="F149" s="27"/>
      <c r="G149" s="27"/>
      <c r="H149" s="27"/>
      <c r="I149" s="26"/>
      <c r="J149" s="23" t="str">
        <f aca="false">IF(A149="","",IF(AND(H149="Yes",I149&lt;&gt;""),I149-D149,""))</f>
        <v/>
      </c>
      <c r="K149" s="24" t="str">
        <f aca="false">IF(A149="","",IF(H149="Yes","Joined",IF(G149="Yes","Offer Declined",IF(F149="Yes","Rejected after Interview",IF(E149="Yes","Not Selected for Interview","Rejected at Screening")))))</f>
        <v/>
      </c>
    </row>
    <row r="150" customFormat="false" ht="15" hidden="false" customHeight="false" outlineLevel="0" collapsed="false">
      <c r="A150" s="25"/>
      <c r="B150" s="25"/>
      <c r="C150" s="25"/>
      <c r="D150" s="26"/>
      <c r="E150" s="27"/>
      <c r="F150" s="27"/>
      <c r="G150" s="27"/>
      <c r="H150" s="27"/>
      <c r="I150" s="26"/>
      <c r="J150" s="23" t="str">
        <f aca="false">IF(A150="","",IF(AND(H150="Yes",I150&lt;&gt;""),I150-D150,""))</f>
        <v/>
      </c>
      <c r="K150" s="24" t="str">
        <f aca="false">IF(A150="","",IF(H150="Yes","Joined",IF(G150="Yes","Offer Declined",IF(F150="Yes","Rejected after Interview",IF(E150="Yes","Not Selected for Interview","Rejected at Screening")))))</f>
        <v/>
      </c>
    </row>
    <row r="151" customFormat="false" ht="15" hidden="false" customHeight="false" outlineLevel="0" collapsed="false">
      <c r="A151" s="25"/>
      <c r="B151" s="25"/>
      <c r="C151" s="25"/>
      <c r="D151" s="26"/>
      <c r="E151" s="27"/>
      <c r="F151" s="27"/>
      <c r="G151" s="27"/>
      <c r="H151" s="27"/>
      <c r="I151" s="26"/>
      <c r="J151" s="23" t="str">
        <f aca="false">IF(A151="","",IF(AND(H151="Yes",I151&lt;&gt;""),I151-D151,""))</f>
        <v/>
      </c>
      <c r="K151" s="24" t="str">
        <f aca="false">IF(A151="","",IF(H151="Yes","Joined",IF(G151="Yes","Offer Declined",IF(F151="Yes","Rejected after Interview",IF(E151="Yes","Not Selected for Interview","Rejected at Screening")))))</f>
        <v/>
      </c>
    </row>
    <row r="152" customFormat="false" ht="15" hidden="false" customHeight="false" outlineLevel="0" collapsed="false">
      <c r="A152" s="25"/>
      <c r="B152" s="25"/>
      <c r="C152" s="25"/>
      <c r="D152" s="26"/>
      <c r="E152" s="27"/>
      <c r="F152" s="27"/>
      <c r="G152" s="27"/>
      <c r="H152" s="27"/>
      <c r="I152" s="26"/>
      <c r="J152" s="23" t="str">
        <f aca="false">IF(A152="","",IF(AND(H152="Yes",I152&lt;&gt;""),I152-D152,""))</f>
        <v/>
      </c>
      <c r="K152" s="24" t="str">
        <f aca="false">IF(A152="","",IF(H152="Yes","Joined",IF(G152="Yes","Offer Declined",IF(F152="Yes","Rejected after Interview",IF(E152="Yes","Not Selected for Interview","Rejected at Screening")))))</f>
        <v/>
      </c>
    </row>
    <row r="153" customFormat="false" ht="15" hidden="false" customHeight="false" outlineLevel="0" collapsed="false">
      <c r="A153" s="25"/>
      <c r="B153" s="25"/>
      <c r="C153" s="25"/>
      <c r="D153" s="26"/>
      <c r="E153" s="27"/>
      <c r="F153" s="27"/>
      <c r="G153" s="27"/>
      <c r="H153" s="27"/>
      <c r="I153" s="26"/>
      <c r="J153" s="23" t="str">
        <f aca="false">IF(A153="","",IF(AND(H153="Yes",I153&lt;&gt;""),I153-D153,""))</f>
        <v/>
      </c>
      <c r="K153" s="24" t="str">
        <f aca="false">IF(A153="","",IF(H153="Yes","Joined",IF(G153="Yes","Offer Declined",IF(F153="Yes","Rejected after Interview",IF(E153="Yes","Not Selected for Interview","Rejected at Screening")))))</f>
        <v/>
      </c>
    </row>
    <row r="154" customFormat="false" ht="15" hidden="false" customHeight="false" outlineLevel="0" collapsed="false">
      <c r="A154" s="25"/>
      <c r="B154" s="25"/>
      <c r="C154" s="25"/>
      <c r="D154" s="26"/>
      <c r="E154" s="27"/>
      <c r="F154" s="27"/>
      <c r="G154" s="27"/>
      <c r="H154" s="27"/>
      <c r="I154" s="26"/>
      <c r="J154" s="23" t="str">
        <f aca="false">IF(A154="","",IF(AND(H154="Yes",I154&lt;&gt;""),I154-D154,""))</f>
        <v/>
      </c>
      <c r="K154" s="24" t="str">
        <f aca="false">IF(A154="","",IF(H154="Yes","Joined",IF(G154="Yes","Offer Declined",IF(F154="Yes","Rejected after Interview",IF(E154="Yes","Not Selected for Interview","Rejected at Screening")))))</f>
        <v/>
      </c>
    </row>
    <row r="155" customFormat="false" ht="15" hidden="false" customHeight="false" outlineLevel="0" collapsed="false">
      <c r="A155" s="25"/>
      <c r="B155" s="25"/>
      <c r="C155" s="25"/>
      <c r="D155" s="26"/>
      <c r="E155" s="27"/>
      <c r="F155" s="27"/>
      <c r="G155" s="27"/>
      <c r="H155" s="27"/>
      <c r="I155" s="26"/>
      <c r="J155" s="23" t="str">
        <f aca="false">IF(A155="","",IF(AND(H155="Yes",I155&lt;&gt;""),I155-D155,""))</f>
        <v/>
      </c>
      <c r="K155" s="24" t="str">
        <f aca="false">IF(A155="","",IF(H155="Yes","Joined",IF(G155="Yes","Offer Declined",IF(F155="Yes","Rejected after Interview",IF(E155="Yes","Not Selected for Interview","Rejected at Screening")))))</f>
        <v/>
      </c>
    </row>
    <row r="156" customFormat="false" ht="15" hidden="false" customHeight="false" outlineLevel="0" collapsed="false">
      <c r="A156" s="25"/>
      <c r="B156" s="25"/>
      <c r="C156" s="25"/>
      <c r="D156" s="26"/>
      <c r="E156" s="27"/>
      <c r="F156" s="27"/>
      <c r="G156" s="27"/>
      <c r="H156" s="27"/>
      <c r="I156" s="26"/>
      <c r="J156" s="23" t="str">
        <f aca="false">IF(A156="","",IF(AND(H156="Yes",I156&lt;&gt;""),I156-D156,""))</f>
        <v/>
      </c>
      <c r="K156" s="24" t="str">
        <f aca="false">IF(A156="","",IF(H156="Yes","Joined",IF(G156="Yes","Offer Declined",IF(F156="Yes","Rejected after Interview",IF(E156="Yes","Not Selected for Interview","Rejected at Screening")))))</f>
        <v/>
      </c>
    </row>
    <row r="157" customFormat="false" ht="15" hidden="false" customHeight="false" outlineLevel="0" collapsed="false">
      <c r="A157" s="25"/>
      <c r="B157" s="25"/>
      <c r="C157" s="25"/>
      <c r="D157" s="26"/>
      <c r="E157" s="27"/>
      <c r="F157" s="27"/>
      <c r="G157" s="27"/>
      <c r="H157" s="27"/>
      <c r="I157" s="26"/>
      <c r="J157" s="23" t="str">
        <f aca="false">IF(A157="","",IF(AND(H157="Yes",I157&lt;&gt;""),I157-D157,""))</f>
        <v/>
      </c>
      <c r="K157" s="24" t="str">
        <f aca="false">IF(A157="","",IF(H157="Yes","Joined",IF(G157="Yes","Offer Declined",IF(F157="Yes","Rejected after Interview",IF(E157="Yes","Not Selected for Interview","Rejected at Screening")))))</f>
        <v/>
      </c>
    </row>
    <row r="158" customFormat="false" ht="15" hidden="false" customHeight="false" outlineLevel="0" collapsed="false">
      <c r="A158" s="25"/>
      <c r="B158" s="25"/>
      <c r="C158" s="25"/>
      <c r="D158" s="26"/>
      <c r="E158" s="27"/>
      <c r="F158" s="27"/>
      <c r="G158" s="27"/>
      <c r="H158" s="27"/>
      <c r="I158" s="26"/>
      <c r="J158" s="23" t="str">
        <f aca="false">IF(A158="","",IF(AND(H158="Yes",I158&lt;&gt;""),I158-D158,""))</f>
        <v/>
      </c>
      <c r="K158" s="24" t="str">
        <f aca="false">IF(A158="","",IF(H158="Yes","Joined",IF(G158="Yes","Offer Declined",IF(F158="Yes","Rejected after Interview",IF(E158="Yes","Not Selected for Interview","Rejected at Screening")))))</f>
        <v/>
      </c>
    </row>
    <row r="159" customFormat="false" ht="15" hidden="false" customHeight="false" outlineLevel="0" collapsed="false">
      <c r="A159" s="25"/>
      <c r="B159" s="25"/>
      <c r="C159" s="25"/>
      <c r="D159" s="26"/>
      <c r="E159" s="27"/>
      <c r="F159" s="27"/>
      <c r="G159" s="27"/>
      <c r="H159" s="27"/>
      <c r="I159" s="26"/>
      <c r="J159" s="23" t="str">
        <f aca="false">IF(A159="","",IF(AND(H159="Yes",I159&lt;&gt;""),I159-D159,""))</f>
        <v/>
      </c>
      <c r="K159" s="24" t="str">
        <f aca="false">IF(A159="","",IF(H159="Yes","Joined",IF(G159="Yes","Offer Declined",IF(F159="Yes","Rejected after Interview",IF(E159="Yes","Not Selected for Interview","Rejected at Screening")))))</f>
        <v/>
      </c>
    </row>
    <row r="160" customFormat="false" ht="15" hidden="false" customHeight="false" outlineLevel="0" collapsed="false">
      <c r="A160" s="25"/>
      <c r="B160" s="25"/>
      <c r="C160" s="25"/>
      <c r="D160" s="26"/>
      <c r="E160" s="27"/>
      <c r="F160" s="27"/>
      <c r="G160" s="27"/>
      <c r="H160" s="27"/>
      <c r="I160" s="26"/>
      <c r="J160" s="23" t="str">
        <f aca="false">IF(A160="","",IF(AND(H160="Yes",I160&lt;&gt;""),I160-D160,""))</f>
        <v/>
      </c>
      <c r="K160" s="24" t="str">
        <f aca="false">IF(A160="","",IF(H160="Yes","Joined",IF(G160="Yes","Offer Declined",IF(F160="Yes","Rejected after Interview",IF(E160="Yes","Not Selected for Interview","Rejected at Screening")))))</f>
        <v/>
      </c>
    </row>
    <row r="161" customFormat="false" ht="15" hidden="false" customHeight="false" outlineLevel="0" collapsed="false">
      <c r="A161" s="25"/>
      <c r="B161" s="25"/>
      <c r="C161" s="25"/>
      <c r="D161" s="26"/>
      <c r="E161" s="27"/>
      <c r="F161" s="27"/>
      <c r="G161" s="27"/>
      <c r="H161" s="27"/>
      <c r="I161" s="26"/>
      <c r="J161" s="23" t="str">
        <f aca="false">IF(A161="","",IF(AND(H161="Yes",I161&lt;&gt;""),I161-D161,""))</f>
        <v/>
      </c>
      <c r="K161" s="24" t="str">
        <f aca="false">IF(A161="","",IF(H161="Yes","Joined",IF(G161="Yes","Offer Declined",IF(F161="Yes","Rejected after Interview",IF(E161="Yes","Not Selected for Interview","Rejected at Screening")))))</f>
        <v/>
      </c>
    </row>
    <row r="162" customFormat="false" ht="15" hidden="false" customHeight="false" outlineLevel="0" collapsed="false">
      <c r="A162" s="25"/>
      <c r="B162" s="25"/>
      <c r="C162" s="25"/>
      <c r="D162" s="26"/>
      <c r="E162" s="27"/>
      <c r="F162" s="27"/>
      <c r="G162" s="27"/>
      <c r="H162" s="27"/>
      <c r="I162" s="26"/>
      <c r="J162" s="23" t="str">
        <f aca="false">IF(A162="","",IF(AND(H162="Yes",I162&lt;&gt;""),I162-D162,""))</f>
        <v/>
      </c>
      <c r="K162" s="24" t="str">
        <f aca="false">IF(A162="","",IF(H162="Yes","Joined",IF(G162="Yes","Offer Declined",IF(F162="Yes","Rejected after Interview",IF(E162="Yes","Not Selected for Interview","Rejected at Screening")))))</f>
        <v/>
      </c>
    </row>
    <row r="163" customFormat="false" ht="15" hidden="false" customHeight="false" outlineLevel="0" collapsed="false">
      <c r="A163" s="25"/>
      <c r="B163" s="25"/>
      <c r="C163" s="25"/>
      <c r="D163" s="26"/>
      <c r="E163" s="27"/>
      <c r="F163" s="27"/>
      <c r="G163" s="27"/>
      <c r="H163" s="27"/>
      <c r="I163" s="26"/>
      <c r="J163" s="23" t="str">
        <f aca="false">IF(A163="","",IF(AND(H163="Yes",I163&lt;&gt;""),I163-D163,""))</f>
        <v/>
      </c>
      <c r="K163" s="24" t="str">
        <f aca="false">IF(A163="","",IF(H163="Yes","Joined",IF(G163="Yes","Offer Declined",IF(F163="Yes","Rejected after Interview",IF(E163="Yes","Not Selected for Interview","Rejected at Screening")))))</f>
        <v/>
      </c>
    </row>
    <row r="164" customFormat="false" ht="15" hidden="false" customHeight="false" outlineLevel="0" collapsed="false">
      <c r="A164" s="25"/>
      <c r="B164" s="25"/>
      <c r="C164" s="25"/>
      <c r="D164" s="26"/>
      <c r="E164" s="27"/>
      <c r="F164" s="27"/>
      <c r="G164" s="27"/>
      <c r="H164" s="27"/>
      <c r="I164" s="26"/>
      <c r="J164" s="23" t="str">
        <f aca="false">IF(A164="","",IF(AND(H164="Yes",I164&lt;&gt;""),I164-D164,""))</f>
        <v/>
      </c>
      <c r="K164" s="24" t="str">
        <f aca="false">IF(A164="","",IF(H164="Yes","Joined",IF(G164="Yes","Offer Declined",IF(F164="Yes","Rejected after Interview",IF(E164="Yes","Not Selected for Interview","Rejected at Screening")))))</f>
        <v/>
      </c>
    </row>
    <row r="165" customFormat="false" ht="15" hidden="false" customHeight="false" outlineLevel="0" collapsed="false">
      <c r="A165" s="25"/>
      <c r="B165" s="25"/>
      <c r="C165" s="25"/>
      <c r="D165" s="26"/>
      <c r="E165" s="27"/>
      <c r="F165" s="27"/>
      <c r="G165" s="27"/>
      <c r="H165" s="27"/>
      <c r="I165" s="26"/>
      <c r="J165" s="23" t="str">
        <f aca="false">IF(A165="","",IF(AND(H165="Yes",I165&lt;&gt;""),I165-D165,""))</f>
        <v/>
      </c>
      <c r="K165" s="24" t="str">
        <f aca="false">IF(A165="","",IF(H165="Yes","Joined",IF(G165="Yes","Offer Declined",IF(F165="Yes","Rejected after Interview",IF(E165="Yes","Not Selected for Interview","Rejected at Screening")))))</f>
        <v/>
      </c>
    </row>
    <row r="166" customFormat="false" ht="15" hidden="false" customHeight="false" outlineLevel="0" collapsed="false">
      <c r="A166" s="25"/>
      <c r="B166" s="25"/>
      <c r="C166" s="25"/>
      <c r="D166" s="26"/>
      <c r="E166" s="27"/>
      <c r="F166" s="27"/>
      <c r="G166" s="27"/>
      <c r="H166" s="27"/>
      <c r="I166" s="26"/>
      <c r="J166" s="23" t="str">
        <f aca="false">IF(A166="","",IF(AND(H166="Yes",I166&lt;&gt;""),I166-D166,""))</f>
        <v/>
      </c>
      <c r="K166" s="24" t="str">
        <f aca="false">IF(A166="","",IF(H166="Yes","Joined",IF(G166="Yes","Offer Declined",IF(F166="Yes","Rejected after Interview",IF(E166="Yes","Not Selected for Interview","Rejected at Screening")))))</f>
        <v/>
      </c>
    </row>
    <row r="167" customFormat="false" ht="15" hidden="false" customHeight="false" outlineLevel="0" collapsed="false">
      <c r="A167" s="25"/>
      <c r="B167" s="25"/>
      <c r="C167" s="25"/>
      <c r="D167" s="26"/>
      <c r="E167" s="27"/>
      <c r="F167" s="27"/>
      <c r="G167" s="27"/>
      <c r="H167" s="27"/>
      <c r="I167" s="26"/>
      <c r="J167" s="23" t="str">
        <f aca="false">IF(A167="","",IF(AND(H167="Yes",I167&lt;&gt;""),I167-D167,""))</f>
        <v/>
      </c>
      <c r="K167" s="24" t="str">
        <f aca="false">IF(A167="","",IF(H167="Yes","Joined",IF(G167="Yes","Offer Declined",IF(F167="Yes","Rejected after Interview",IF(E167="Yes","Not Selected for Interview","Rejected at Screening")))))</f>
        <v/>
      </c>
    </row>
    <row r="168" customFormat="false" ht="15" hidden="false" customHeight="false" outlineLevel="0" collapsed="false">
      <c r="A168" s="25"/>
      <c r="B168" s="25"/>
      <c r="C168" s="25"/>
      <c r="D168" s="26"/>
      <c r="E168" s="27"/>
      <c r="F168" s="27"/>
      <c r="G168" s="27"/>
      <c r="H168" s="27"/>
      <c r="I168" s="26"/>
      <c r="J168" s="23" t="str">
        <f aca="false">IF(A168="","",IF(AND(H168="Yes",I168&lt;&gt;""),I168-D168,""))</f>
        <v/>
      </c>
      <c r="K168" s="24" t="str">
        <f aca="false">IF(A168="","",IF(H168="Yes","Joined",IF(G168="Yes","Offer Declined",IF(F168="Yes","Rejected after Interview",IF(E168="Yes","Not Selected for Interview","Rejected at Screening")))))</f>
        <v/>
      </c>
    </row>
    <row r="169" customFormat="false" ht="15" hidden="false" customHeight="false" outlineLevel="0" collapsed="false">
      <c r="A169" s="25"/>
      <c r="B169" s="25"/>
      <c r="C169" s="25"/>
      <c r="D169" s="26"/>
      <c r="E169" s="27"/>
      <c r="F169" s="27"/>
      <c r="G169" s="27"/>
      <c r="H169" s="27"/>
      <c r="I169" s="26"/>
      <c r="J169" s="23" t="str">
        <f aca="false">IF(A169="","",IF(AND(H169="Yes",I169&lt;&gt;""),I169-D169,""))</f>
        <v/>
      </c>
      <c r="K169" s="24" t="str">
        <f aca="false">IF(A169="","",IF(H169="Yes","Joined",IF(G169="Yes","Offer Declined",IF(F169="Yes","Rejected after Interview",IF(E169="Yes","Not Selected for Interview","Rejected at Screening")))))</f>
        <v/>
      </c>
    </row>
    <row r="170" customFormat="false" ht="15" hidden="false" customHeight="false" outlineLevel="0" collapsed="false">
      <c r="A170" s="25"/>
      <c r="B170" s="25"/>
      <c r="C170" s="25"/>
      <c r="D170" s="26"/>
      <c r="E170" s="27"/>
      <c r="F170" s="27"/>
      <c r="G170" s="27"/>
      <c r="H170" s="27"/>
      <c r="I170" s="26"/>
      <c r="J170" s="23" t="str">
        <f aca="false">IF(A170="","",IF(AND(H170="Yes",I170&lt;&gt;""),I170-D170,""))</f>
        <v/>
      </c>
      <c r="K170" s="24" t="str">
        <f aca="false">IF(A170="","",IF(H170="Yes","Joined",IF(G170="Yes","Offer Declined",IF(F170="Yes","Rejected after Interview",IF(E170="Yes","Not Selected for Interview","Rejected at Screening")))))</f>
        <v/>
      </c>
    </row>
    <row r="171" customFormat="false" ht="15" hidden="false" customHeight="false" outlineLevel="0" collapsed="false">
      <c r="A171" s="25"/>
      <c r="B171" s="25"/>
      <c r="C171" s="25"/>
      <c r="D171" s="26"/>
      <c r="E171" s="27"/>
      <c r="F171" s="27"/>
      <c r="G171" s="27"/>
      <c r="H171" s="27"/>
      <c r="I171" s="26"/>
      <c r="J171" s="23" t="str">
        <f aca="false">IF(A171="","",IF(AND(H171="Yes",I171&lt;&gt;""),I171-D171,""))</f>
        <v/>
      </c>
      <c r="K171" s="24" t="str">
        <f aca="false">IF(A171="","",IF(H171="Yes","Joined",IF(G171="Yes","Offer Declined",IF(F171="Yes","Rejected after Interview",IF(E171="Yes","Not Selected for Interview","Rejected at Screening")))))</f>
        <v/>
      </c>
    </row>
    <row r="172" customFormat="false" ht="15" hidden="false" customHeight="false" outlineLevel="0" collapsed="false">
      <c r="A172" s="25"/>
      <c r="B172" s="25"/>
      <c r="C172" s="25"/>
      <c r="D172" s="26"/>
      <c r="E172" s="27"/>
      <c r="F172" s="27"/>
      <c r="G172" s="27"/>
      <c r="H172" s="27"/>
      <c r="I172" s="26"/>
      <c r="J172" s="23" t="str">
        <f aca="false">IF(A172="","",IF(AND(H172="Yes",I172&lt;&gt;""),I172-D172,""))</f>
        <v/>
      </c>
      <c r="K172" s="24" t="str">
        <f aca="false">IF(A172="","",IF(H172="Yes","Joined",IF(G172="Yes","Offer Declined",IF(F172="Yes","Rejected after Interview",IF(E172="Yes","Not Selected for Interview","Rejected at Screening")))))</f>
        <v/>
      </c>
    </row>
    <row r="173" customFormat="false" ht="15" hidden="false" customHeight="false" outlineLevel="0" collapsed="false">
      <c r="A173" s="25"/>
      <c r="B173" s="25"/>
      <c r="C173" s="25"/>
      <c r="D173" s="26"/>
      <c r="E173" s="27"/>
      <c r="F173" s="27"/>
      <c r="G173" s="27"/>
      <c r="H173" s="27"/>
      <c r="I173" s="26"/>
      <c r="J173" s="23" t="str">
        <f aca="false">IF(A173="","",IF(AND(H173="Yes",I173&lt;&gt;""),I173-D173,""))</f>
        <v/>
      </c>
      <c r="K173" s="24" t="str">
        <f aca="false">IF(A173="","",IF(H173="Yes","Joined",IF(G173="Yes","Offer Declined",IF(F173="Yes","Rejected after Interview",IF(E173="Yes","Not Selected for Interview","Rejected at Screening")))))</f>
        <v/>
      </c>
    </row>
    <row r="174" customFormat="false" ht="15" hidden="false" customHeight="false" outlineLevel="0" collapsed="false">
      <c r="A174" s="25"/>
      <c r="B174" s="25"/>
      <c r="C174" s="25"/>
      <c r="D174" s="26"/>
      <c r="E174" s="27"/>
      <c r="F174" s="27"/>
      <c r="G174" s="27"/>
      <c r="H174" s="27"/>
      <c r="I174" s="26"/>
      <c r="J174" s="23" t="str">
        <f aca="false">IF(A174="","",IF(AND(H174="Yes",I174&lt;&gt;""),I174-D174,""))</f>
        <v/>
      </c>
      <c r="K174" s="24" t="str">
        <f aca="false">IF(A174="","",IF(H174="Yes","Joined",IF(G174="Yes","Offer Declined",IF(F174="Yes","Rejected after Interview",IF(E174="Yes","Not Selected for Interview","Rejected at Screening")))))</f>
        <v/>
      </c>
    </row>
    <row r="175" customFormat="false" ht="15" hidden="false" customHeight="false" outlineLevel="0" collapsed="false">
      <c r="A175" s="25"/>
      <c r="B175" s="25"/>
      <c r="C175" s="25"/>
      <c r="D175" s="26"/>
      <c r="E175" s="27"/>
      <c r="F175" s="27"/>
      <c r="G175" s="27"/>
      <c r="H175" s="27"/>
      <c r="I175" s="26"/>
      <c r="J175" s="23" t="str">
        <f aca="false">IF(A175="","",IF(AND(H175="Yes",I175&lt;&gt;""),I175-D175,""))</f>
        <v/>
      </c>
      <c r="K175" s="24" t="str">
        <f aca="false">IF(A175="","",IF(H175="Yes","Joined",IF(G175="Yes","Offer Declined",IF(F175="Yes","Rejected after Interview",IF(E175="Yes","Not Selected for Interview","Rejected at Screening")))))</f>
        <v/>
      </c>
    </row>
    <row r="176" customFormat="false" ht="15" hidden="false" customHeight="false" outlineLevel="0" collapsed="false">
      <c r="A176" s="25"/>
      <c r="B176" s="25"/>
      <c r="C176" s="25"/>
      <c r="D176" s="26"/>
      <c r="E176" s="27"/>
      <c r="F176" s="27"/>
      <c r="G176" s="27"/>
      <c r="H176" s="27"/>
      <c r="I176" s="26"/>
      <c r="J176" s="23" t="str">
        <f aca="false">IF(A176="","",IF(AND(H176="Yes",I176&lt;&gt;""),I176-D176,""))</f>
        <v/>
      </c>
      <c r="K176" s="24" t="str">
        <f aca="false">IF(A176="","",IF(H176="Yes","Joined",IF(G176="Yes","Offer Declined",IF(F176="Yes","Rejected after Interview",IF(E176="Yes","Not Selected for Interview","Rejected at Screening")))))</f>
        <v/>
      </c>
    </row>
    <row r="177" customFormat="false" ht="15" hidden="false" customHeight="false" outlineLevel="0" collapsed="false">
      <c r="A177" s="25"/>
      <c r="B177" s="25"/>
      <c r="C177" s="25"/>
      <c r="D177" s="26"/>
      <c r="E177" s="27"/>
      <c r="F177" s="27"/>
      <c r="G177" s="27"/>
      <c r="H177" s="27"/>
      <c r="I177" s="26"/>
      <c r="J177" s="23" t="str">
        <f aca="false">IF(A177="","",IF(AND(H177="Yes",I177&lt;&gt;""),I177-D177,""))</f>
        <v/>
      </c>
      <c r="K177" s="24" t="str">
        <f aca="false">IF(A177="","",IF(H177="Yes","Joined",IF(G177="Yes","Offer Declined",IF(F177="Yes","Rejected after Interview",IF(E177="Yes","Not Selected for Interview","Rejected at Screening")))))</f>
        <v/>
      </c>
    </row>
    <row r="178" customFormat="false" ht="15" hidden="false" customHeight="false" outlineLevel="0" collapsed="false">
      <c r="A178" s="25"/>
      <c r="B178" s="25"/>
      <c r="C178" s="25"/>
      <c r="D178" s="26"/>
      <c r="E178" s="27"/>
      <c r="F178" s="27"/>
      <c r="G178" s="27"/>
      <c r="H178" s="27"/>
      <c r="I178" s="26"/>
      <c r="J178" s="23" t="str">
        <f aca="false">IF(A178="","",IF(AND(H178="Yes",I178&lt;&gt;""),I178-D178,""))</f>
        <v/>
      </c>
      <c r="K178" s="24" t="str">
        <f aca="false">IF(A178="","",IF(H178="Yes","Joined",IF(G178="Yes","Offer Declined",IF(F178="Yes","Rejected after Interview",IF(E178="Yes","Not Selected for Interview","Rejected at Screening")))))</f>
        <v/>
      </c>
    </row>
    <row r="179" customFormat="false" ht="15" hidden="false" customHeight="false" outlineLevel="0" collapsed="false">
      <c r="A179" s="25"/>
      <c r="B179" s="25"/>
      <c r="C179" s="25"/>
      <c r="D179" s="26"/>
      <c r="E179" s="27"/>
      <c r="F179" s="27"/>
      <c r="G179" s="27"/>
      <c r="H179" s="27"/>
      <c r="I179" s="26"/>
      <c r="J179" s="23" t="str">
        <f aca="false">IF(A179="","",IF(AND(H179="Yes",I179&lt;&gt;""),I179-D179,""))</f>
        <v/>
      </c>
      <c r="K179" s="24" t="str">
        <f aca="false">IF(A179="","",IF(H179="Yes","Joined",IF(G179="Yes","Offer Declined",IF(F179="Yes","Rejected after Interview",IF(E179="Yes","Not Selected for Interview","Rejected at Screening")))))</f>
        <v/>
      </c>
    </row>
    <row r="180" customFormat="false" ht="15" hidden="false" customHeight="false" outlineLevel="0" collapsed="false">
      <c r="A180" s="25"/>
      <c r="B180" s="25"/>
      <c r="C180" s="25"/>
      <c r="D180" s="26"/>
      <c r="E180" s="27"/>
      <c r="F180" s="27"/>
      <c r="G180" s="27"/>
      <c r="H180" s="27"/>
      <c r="I180" s="26"/>
      <c r="J180" s="23" t="str">
        <f aca="false">IF(A180="","",IF(AND(H180="Yes",I180&lt;&gt;""),I180-D180,""))</f>
        <v/>
      </c>
      <c r="K180" s="24" t="str">
        <f aca="false">IF(A180="","",IF(H180="Yes","Joined",IF(G180="Yes","Offer Declined",IF(F180="Yes","Rejected after Interview",IF(E180="Yes","Not Selected for Interview","Rejected at Screening")))))</f>
        <v/>
      </c>
    </row>
    <row r="181" customFormat="false" ht="15" hidden="false" customHeight="false" outlineLevel="0" collapsed="false">
      <c r="A181" s="25"/>
      <c r="B181" s="25"/>
      <c r="C181" s="25"/>
      <c r="D181" s="26"/>
      <c r="E181" s="27"/>
      <c r="F181" s="27"/>
      <c r="G181" s="27"/>
      <c r="H181" s="27"/>
      <c r="I181" s="26"/>
      <c r="J181" s="23" t="str">
        <f aca="false">IF(A181="","",IF(AND(H181="Yes",I181&lt;&gt;""),I181-D181,""))</f>
        <v/>
      </c>
      <c r="K181" s="24" t="str">
        <f aca="false">IF(A181="","",IF(H181="Yes","Joined",IF(G181="Yes","Offer Declined",IF(F181="Yes","Rejected after Interview",IF(E181="Yes","Not Selected for Interview","Rejected at Screening")))))</f>
        <v/>
      </c>
    </row>
    <row r="182" customFormat="false" ht="15" hidden="false" customHeight="false" outlineLevel="0" collapsed="false">
      <c r="A182" s="25"/>
      <c r="B182" s="25"/>
      <c r="C182" s="25"/>
      <c r="D182" s="26"/>
      <c r="E182" s="27"/>
      <c r="F182" s="27"/>
      <c r="G182" s="27"/>
      <c r="H182" s="27"/>
      <c r="I182" s="26"/>
      <c r="J182" s="23" t="str">
        <f aca="false">IF(A182="","",IF(AND(H182="Yes",I182&lt;&gt;""),I182-D182,""))</f>
        <v/>
      </c>
      <c r="K182" s="24" t="str">
        <f aca="false">IF(A182="","",IF(H182="Yes","Joined",IF(G182="Yes","Offer Declined",IF(F182="Yes","Rejected after Interview",IF(E182="Yes","Not Selected for Interview","Rejected at Screening")))))</f>
        <v/>
      </c>
    </row>
    <row r="183" customFormat="false" ht="15" hidden="false" customHeight="false" outlineLevel="0" collapsed="false">
      <c r="A183" s="25"/>
      <c r="B183" s="25"/>
      <c r="C183" s="25"/>
      <c r="D183" s="26"/>
      <c r="E183" s="27"/>
      <c r="F183" s="27"/>
      <c r="G183" s="27"/>
      <c r="H183" s="27"/>
      <c r="I183" s="26"/>
      <c r="J183" s="23" t="str">
        <f aca="false">IF(A183="","",IF(AND(H183="Yes",I183&lt;&gt;""),I183-D183,""))</f>
        <v/>
      </c>
      <c r="K183" s="24" t="str">
        <f aca="false">IF(A183="","",IF(H183="Yes","Joined",IF(G183="Yes","Offer Declined",IF(F183="Yes","Rejected after Interview",IF(E183="Yes","Not Selected for Interview","Rejected at Screening")))))</f>
        <v/>
      </c>
    </row>
    <row r="184" customFormat="false" ht="15" hidden="false" customHeight="false" outlineLevel="0" collapsed="false">
      <c r="A184" s="25"/>
      <c r="B184" s="25"/>
      <c r="C184" s="25"/>
      <c r="D184" s="26"/>
      <c r="E184" s="27"/>
      <c r="F184" s="27"/>
      <c r="G184" s="27"/>
      <c r="H184" s="27"/>
      <c r="I184" s="26"/>
      <c r="J184" s="23" t="str">
        <f aca="false">IF(A184="","",IF(AND(H184="Yes",I184&lt;&gt;""),I184-D184,""))</f>
        <v/>
      </c>
      <c r="K184" s="24" t="str">
        <f aca="false">IF(A184="","",IF(H184="Yes","Joined",IF(G184="Yes","Offer Declined",IF(F184="Yes","Rejected after Interview",IF(E184="Yes","Not Selected for Interview","Rejected at Screening")))))</f>
        <v/>
      </c>
    </row>
    <row r="185" customFormat="false" ht="15" hidden="false" customHeight="false" outlineLevel="0" collapsed="false">
      <c r="A185" s="25"/>
      <c r="B185" s="25"/>
      <c r="C185" s="25"/>
      <c r="D185" s="26"/>
      <c r="E185" s="27"/>
      <c r="F185" s="27"/>
      <c r="G185" s="27"/>
      <c r="H185" s="27"/>
      <c r="I185" s="26"/>
      <c r="J185" s="23" t="str">
        <f aca="false">IF(A185="","",IF(AND(H185="Yes",I185&lt;&gt;""),I185-D185,""))</f>
        <v/>
      </c>
      <c r="K185" s="24" t="str">
        <f aca="false">IF(A185="","",IF(H185="Yes","Joined",IF(G185="Yes","Offer Declined",IF(F185="Yes","Rejected after Interview",IF(E185="Yes","Not Selected for Interview","Rejected at Screening")))))</f>
        <v/>
      </c>
    </row>
    <row r="186" customFormat="false" ht="15" hidden="false" customHeight="false" outlineLevel="0" collapsed="false">
      <c r="A186" s="25"/>
      <c r="B186" s="25"/>
      <c r="C186" s="25"/>
      <c r="D186" s="26"/>
      <c r="E186" s="27"/>
      <c r="F186" s="27"/>
      <c r="G186" s="27"/>
      <c r="H186" s="27"/>
      <c r="I186" s="26"/>
      <c r="J186" s="23" t="str">
        <f aca="false">IF(A186="","",IF(AND(H186="Yes",I186&lt;&gt;""),I186-D186,""))</f>
        <v/>
      </c>
      <c r="K186" s="24" t="str">
        <f aca="false">IF(A186="","",IF(H186="Yes","Joined",IF(G186="Yes","Offer Declined",IF(F186="Yes","Rejected after Interview",IF(E186="Yes","Not Selected for Interview","Rejected at Screening")))))</f>
        <v/>
      </c>
    </row>
    <row r="187" customFormat="false" ht="15" hidden="false" customHeight="false" outlineLevel="0" collapsed="false">
      <c r="A187" s="25"/>
      <c r="B187" s="25"/>
      <c r="C187" s="25"/>
      <c r="D187" s="26"/>
      <c r="E187" s="27"/>
      <c r="F187" s="27"/>
      <c r="G187" s="27"/>
      <c r="H187" s="27"/>
      <c r="I187" s="26"/>
      <c r="J187" s="23" t="str">
        <f aca="false">IF(A187="","",IF(AND(H187="Yes",I187&lt;&gt;""),I187-D187,""))</f>
        <v/>
      </c>
      <c r="K187" s="24" t="str">
        <f aca="false">IF(A187="","",IF(H187="Yes","Joined",IF(G187="Yes","Offer Declined",IF(F187="Yes","Rejected after Interview",IF(E187="Yes","Not Selected for Interview","Rejected at Screening")))))</f>
        <v/>
      </c>
    </row>
    <row r="188" customFormat="false" ht="15" hidden="false" customHeight="false" outlineLevel="0" collapsed="false">
      <c r="A188" s="25"/>
      <c r="B188" s="25"/>
      <c r="C188" s="25"/>
      <c r="D188" s="26"/>
      <c r="E188" s="27"/>
      <c r="F188" s="27"/>
      <c r="G188" s="27"/>
      <c r="H188" s="27"/>
      <c r="I188" s="26"/>
      <c r="J188" s="23" t="str">
        <f aca="false">IF(A188="","",IF(AND(H188="Yes",I188&lt;&gt;""),I188-D188,""))</f>
        <v/>
      </c>
      <c r="K188" s="24" t="str">
        <f aca="false">IF(A188="","",IF(H188="Yes","Joined",IF(G188="Yes","Offer Declined",IF(F188="Yes","Rejected after Interview",IF(E188="Yes","Not Selected for Interview","Rejected at Screening")))))</f>
        <v/>
      </c>
    </row>
    <row r="189" customFormat="false" ht="15" hidden="false" customHeight="false" outlineLevel="0" collapsed="false">
      <c r="A189" s="25"/>
      <c r="B189" s="25"/>
      <c r="C189" s="25"/>
      <c r="D189" s="26"/>
      <c r="E189" s="27"/>
      <c r="F189" s="27"/>
      <c r="G189" s="27"/>
      <c r="H189" s="27"/>
      <c r="I189" s="26"/>
      <c r="J189" s="23" t="str">
        <f aca="false">IF(A189="","",IF(AND(H189="Yes",I189&lt;&gt;""),I189-D189,""))</f>
        <v/>
      </c>
      <c r="K189" s="24" t="str">
        <f aca="false">IF(A189="","",IF(H189="Yes","Joined",IF(G189="Yes","Offer Declined",IF(F189="Yes","Rejected after Interview",IF(E189="Yes","Not Selected for Interview","Rejected at Screening")))))</f>
        <v/>
      </c>
    </row>
    <row r="190" customFormat="false" ht="15" hidden="false" customHeight="false" outlineLevel="0" collapsed="false">
      <c r="A190" s="25"/>
      <c r="B190" s="25"/>
      <c r="C190" s="25"/>
      <c r="D190" s="26"/>
      <c r="E190" s="27"/>
      <c r="F190" s="27"/>
      <c r="G190" s="27"/>
      <c r="H190" s="27"/>
      <c r="I190" s="26"/>
      <c r="J190" s="23" t="str">
        <f aca="false">IF(A190="","",IF(AND(H190="Yes",I190&lt;&gt;""),I190-D190,""))</f>
        <v/>
      </c>
      <c r="K190" s="24" t="str">
        <f aca="false">IF(A190="","",IF(H190="Yes","Joined",IF(G190="Yes","Offer Declined",IF(F190="Yes","Rejected after Interview",IF(E190="Yes","Not Selected for Interview","Rejected at Screening")))))</f>
        <v/>
      </c>
    </row>
    <row r="191" customFormat="false" ht="15" hidden="false" customHeight="false" outlineLevel="0" collapsed="false">
      <c r="A191" s="25"/>
      <c r="B191" s="25"/>
      <c r="C191" s="25"/>
      <c r="D191" s="26"/>
      <c r="E191" s="27"/>
      <c r="F191" s="27"/>
      <c r="G191" s="27"/>
      <c r="H191" s="27"/>
      <c r="I191" s="26"/>
      <c r="J191" s="23" t="str">
        <f aca="false">IF(A191="","",IF(AND(H191="Yes",I191&lt;&gt;""),I191-D191,""))</f>
        <v/>
      </c>
      <c r="K191" s="24" t="str">
        <f aca="false">IF(A191="","",IF(H191="Yes","Joined",IF(G191="Yes","Offer Declined",IF(F191="Yes","Rejected after Interview",IF(E191="Yes","Not Selected for Interview","Rejected at Screening")))))</f>
        <v/>
      </c>
    </row>
    <row r="192" customFormat="false" ht="15" hidden="false" customHeight="false" outlineLevel="0" collapsed="false">
      <c r="A192" s="25"/>
      <c r="B192" s="25"/>
      <c r="C192" s="25"/>
      <c r="D192" s="26"/>
      <c r="E192" s="27"/>
      <c r="F192" s="27"/>
      <c r="G192" s="27"/>
      <c r="H192" s="27"/>
      <c r="I192" s="26"/>
      <c r="J192" s="23" t="str">
        <f aca="false">IF(A192="","",IF(AND(H192="Yes",I192&lt;&gt;""),I192-D192,""))</f>
        <v/>
      </c>
      <c r="K192" s="24" t="str">
        <f aca="false">IF(A192="","",IF(H192="Yes","Joined",IF(G192="Yes","Offer Declined",IF(F192="Yes","Rejected after Interview",IF(E192="Yes","Not Selected for Interview","Rejected at Screening")))))</f>
        <v/>
      </c>
    </row>
    <row r="193" customFormat="false" ht="15" hidden="false" customHeight="false" outlineLevel="0" collapsed="false">
      <c r="A193" s="25"/>
      <c r="B193" s="25"/>
      <c r="C193" s="25"/>
      <c r="D193" s="26"/>
      <c r="E193" s="27"/>
      <c r="F193" s="27"/>
      <c r="G193" s="27"/>
      <c r="H193" s="27"/>
      <c r="I193" s="26"/>
      <c r="J193" s="23" t="str">
        <f aca="false">IF(A193="","",IF(AND(H193="Yes",I193&lt;&gt;""),I193-D193,""))</f>
        <v/>
      </c>
      <c r="K193" s="24" t="str">
        <f aca="false">IF(A193="","",IF(H193="Yes","Joined",IF(G193="Yes","Offer Declined",IF(F193="Yes","Rejected after Interview",IF(E193="Yes","Not Selected for Interview","Rejected at Screening")))))</f>
        <v/>
      </c>
    </row>
    <row r="194" customFormat="false" ht="15" hidden="false" customHeight="false" outlineLevel="0" collapsed="false">
      <c r="A194" s="25"/>
      <c r="B194" s="25"/>
      <c r="C194" s="25"/>
      <c r="D194" s="26"/>
      <c r="E194" s="27"/>
      <c r="F194" s="27"/>
      <c r="G194" s="27"/>
      <c r="H194" s="27"/>
      <c r="I194" s="26"/>
      <c r="J194" s="23" t="str">
        <f aca="false">IF(A194="","",IF(AND(H194="Yes",I194&lt;&gt;""),I194-D194,""))</f>
        <v/>
      </c>
      <c r="K194" s="24" t="str">
        <f aca="false">IF(A194="","",IF(H194="Yes","Joined",IF(G194="Yes","Offer Declined",IF(F194="Yes","Rejected after Interview",IF(E194="Yes","Not Selected for Interview","Rejected at Screening")))))</f>
        <v/>
      </c>
    </row>
    <row r="195" customFormat="false" ht="15" hidden="false" customHeight="false" outlineLevel="0" collapsed="false">
      <c r="A195" s="25"/>
      <c r="B195" s="25"/>
      <c r="C195" s="25"/>
      <c r="D195" s="26"/>
      <c r="E195" s="27"/>
      <c r="F195" s="27"/>
      <c r="G195" s="27"/>
      <c r="H195" s="27"/>
      <c r="I195" s="26"/>
      <c r="J195" s="23" t="str">
        <f aca="false">IF(A195="","",IF(AND(H195="Yes",I195&lt;&gt;""),I195-D195,""))</f>
        <v/>
      </c>
      <c r="K195" s="24" t="str">
        <f aca="false">IF(A195="","",IF(H195="Yes","Joined",IF(G195="Yes","Offer Declined",IF(F195="Yes","Rejected after Interview",IF(E195="Yes","Not Selected for Interview","Rejected at Screening")))))</f>
        <v/>
      </c>
    </row>
    <row r="196" customFormat="false" ht="15" hidden="false" customHeight="false" outlineLevel="0" collapsed="false">
      <c r="A196" s="25"/>
      <c r="B196" s="25"/>
      <c r="C196" s="25"/>
      <c r="D196" s="26"/>
      <c r="E196" s="27"/>
      <c r="F196" s="27"/>
      <c r="G196" s="27"/>
      <c r="H196" s="27"/>
      <c r="I196" s="26"/>
      <c r="J196" s="23" t="str">
        <f aca="false">IF(A196="","",IF(AND(H196="Yes",I196&lt;&gt;""),I196-D196,""))</f>
        <v/>
      </c>
      <c r="K196" s="24" t="str">
        <f aca="false">IF(A196="","",IF(H196="Yes","Joined",IF(G196="Yes","Offer Declined",IF(F196="Yes","Rejected after Interview",IF(E196="Yes","Not Selected for Interview","Rejected at Screening")))))</f>
        <v/>
      </c>
    </row>
    <row r="197" customFormat="false" ht="15" hidden="false" customHeight="false" outlineLevel="0" collapsed="false">
      <c r="A197" s="25"/>
      <c r="B197" s="25"/>
      <c r="C197" s="25"/>
      <c r="D197" s="26"/>
      <c r="E197" s="27"/>
      <c r="F197" s="27"/>
      <c r="G197" s="27"/>
      <c r="H197" s="27"/>
      <c r="I197" s="26"/>
      <c r="J197" s="23" t="str">
        <f aca="false">IF(A197="","",IF(AND(H197="Yes",I197&lt;&gt;""),I197-D197,""))</f>
        <v/>
      </c>
      <c r="K197" s="24" t="str">
        <f aca="false">IF(A197="","",IF(H197="Yes","Joined",IF(G197="Yes","Offer Declined",IF(F197="Yes","Rejected after Interview",IF(E197="Yes","Not Selected for Interview","Rejected at Screening")))))</f>
        <v/>
      </c>
    </row>
    <row r="198" customFormat="false" ht="15" hidden="false" customHeight="false" outlineLevel="0" collapsed="false">
      <c r="A198" s="25"/>
      <c r="B198" s="25"/>
      <c r="C198" s="25"/>
      <c r="D198" s="26"/>
      <c r="E198" s="27"/>
      <c r="F198" s="27"/>
      <c r="G198" s="27"/>
      <c r="H198" s="27"/>
      <c r="I198" s="26"/>
      <c r="J198" s="23" t="str">
        <f aca="false">IF(A198="","",IF(AND(H198="Yes",I198&lt;&gt;""),I198-D198,""))</f>
        <v/>
      </c>
      <c r="K198" s="24" t="str">
        <f aca="false">IF(A198="","",IF(H198="Yes","Joined",IF(G198="Yes","Offer Declined",IF(F198="Yes","Rejected after Interview",IF(E198="Yes","Not Selected for Interview","Rejected at Screening")))))</f>
        <v/>
      </c>
    </row>
    <row r="199" customFormat="false" ht="15" hidden="false" customHeight="false" outlineLevel="0" collapsed="false">
      <c r="A199" s="25"/>
      <c r="B199" s="25"/>
      <c r="C199" s="25"/>
      <c r="D199" s="26"/>
      <c r="E199" s="27"/>
      <c r="F199" s="27"/>
      <c r="G199" s="27"/>
      <c r="H199" s="27"/>
      <c r="I199" s="26"/>
      <c r="J199" s="23" t="str">
        <f aca="false">IF(A199="","",IF(AND(H199="Yes",I199&lt;&gt;""),I199-D199,""))</f>
        <v/>
      </c>
      <c r="K199" s="24" t="str">
        <f aca="false">IF(A199="","",IF(H199="Yes","Joined",IF(G199="Yes","Offer Declined",IF(F199="Yes","Rejected after Interview",IF(E199="Yes","Not Selected for Interview","Rejected at Screening")))))</f>
        <v/>
      </c>
    </row>
    <row r="200" customFormat="false" ht="15" hidden="false" customHeight="false" outlineLevel="0" collapsed="false">
      <c r="A200" s="25"/>
      <c r="B200" s="25"/>
      <c r="C200" s="25"/>
      <c r="D200" s="26"/>
      <c r="E200" s="27"/>
      <c r="F200" s="27"/>
      <c r="G200" s="27"/>
      <c r="H200" s="27"/>
      <c r="I200" s="26"/>
      <c r="J200" s="23" t="str">
        <f aca="false">IF(A200="","",IF(AND(H200="Yes",I200&lt;&gt;""),I200-D200,""))</f>
        <v/>
      </c>
      <c r="K200" s="24" t="str">
        <f aca="false">IF(A200="","",IF(H200="Yes","Joined",IF(G200="Yes","Offer Declined",IF(F200="Yes","Rejected after Interview",IF(E200="Yes","Not Selected for Interview","Rejected at Screening")))))</f>
        <v/>
      </c>
    </row>
    <row r="201" customFormat="false" ht="15" hidden="false" customHeight="false" outlineLevel="0" collapsed="false">
      <c r="A201" s="25"/>
      <c r="B201" s="25"/>
      <c r="C201" s="25"/>
      <c r="D201" s="26"/>
      <c r="E201" s="27"/>
      <c r="F201" s="27"/>
      <c r="G201" s="27"/>
      <c r="H201" s="27"/>
      <c r="I201" s="26"/>
      <c r="J201" s="23" t="str">
        <f aca="false">IF(A201="","",IF(AND(H201="Yes",I201&lt;&gt;""),I201-D201,""))</f>
        <v/>
      </c>
      <c r="K201" s="24" t="str">
        <f aca="false">IF(A201="","",IF(H201="Yes","Joined",IF(G201="Yes","Offer Declined",IF(F201="Yes","Rejected after Interview",IF(E201="Yes","Not Selected for Interview","Rejected at Screening")))))</f>
        <v/>
      </c>
    </row>
    <row r="202" customFormat="false" ht="15" hidden="false" customHeight="false" outlineLevel="0" collapsed="false">
      <c r="A202" s="25"/>
      <c r="B202" s="25"/>
      <c r="C202" s="25"/>
      <c r="D202" s="26"/>
      <c r="E202" s="27"/>
      <c r="F202" s="27"/>
      <c r="G202" s="27"/>
      <c r="H202" s="27"/>
      <c r="I202" s="26"/>
      <c r="J202" s="23" t="str">
        <f aca="false">IF(A202="","",IF(AND(H202="Yes",I202&lt;&gt;""),I202-D202,""))</f>
        <v/>
      </c>
      <c r="K202" s="24" t="str">
        <f aca="false">IF(A202="","",IF(H202="Yes","Joined",IF(G202="Yes","Offer Declined",IF(F202="Yes","Rejected after Interview",IF(E202="Yes","Not Selected for Interview","Rejected at Screening")))))</f>
        <v/>
      </c>
    </row>
    <row r="203" customFormat="false" ht="15" hidden="false" customHeight="false" outlineLevel="0" collapsed="false">
      <c r="A203" s="25"/>
      <c r="B203" s="25"/>
      <c r="C203" s="25"/>
      <c r="D203" s="26"/>
      <c r="E203" s="27"/>
      <c r="F203" s="27"/>
      <c r="G203" s="27"/>
      <c r="H203" s="27"/>
      <c r="I203" s="26"/>
      <c r="J203" s="23" t="str">
        <f aca="false">IF(A203="","",IF(AND(H203="Yes",I203&lt;&gt;""),I203-D203,""))</f>
        <v/>
      </c>
      <c r="K203" s="24" t="str">
        <f aca="false">IF(A203="","",IF(H203="Yes","Joined",IF(G203="Yes","Offer Declined",IF(F203="Yes","Rejected after Interview",IF(E203="Yes","Not Selected for Interview","Rejected at Screening")))))</f>
        <v/>
      </c>
    </row>
    <row r="204" customFormat="false" ht="15" hidden="false" customHeight="false" outlineLevel="0" collapsed="false">
      <c r="A204" s="25"/>
      <c r="B204" s="25"/>
      <c r="C204" s="25"/>
      <c r="D204" s="26"/>
      <c r="E204" s="27"/>
      <c r="F204" s="27"/>
      <c r="G204" s="27"/>
      <c r="H204" s="27"/>
      <c r="I204" s="26"/>
      <c r="J204" s="23" t="str">
        <f aca="false">IF(A204="","",IF(AND(H204="Yes",I204&lt;&gt;""),I204-D204,""))</f>
        <v/>
      </c>
      <c r="K204" s="24" t="str">
        <f aca="false">IF(A204="","",IF(H204="Yes","Joined",IF(G204="Yes","Offer Declined",IF(F204="Yes","Rejected after Interview",IF(E204="Yes","Not Selected for Interview","Rejected at Screening")))))</f>
        <v/>
      </c>
    </row>
    <row r="205" customFormat="false" ht="15" hidden="false" customHeight="false" outlineLevel="0" collapsed="false">
      <c r="A205" s="25"/>
      <c r="B205" s="25"/>
      <c r="C205" s="25"/>
      <c r="D205" s="26"/>
      <c r="E205" s="27"/>
      <c r="F205" s="27"/>
      <c r="G205" s="27"/>
      <c r="H205" s="27"/>
      <c r="I205" s="26"/>
      <c r="J205" s="23" t="str">
        <f aca="false">IF(A205="","",IF(AND(H205="Yes",I205&lt;&gt;""),I205-D205,""))</f>
        <v/>
      </c>
      <c r="K205" s="24" t="str">
        <f aca="false">IF(A205="","",IF(H205="Yes","Joined",IF(G205="Yes","Offer Declined",IF(F205="Yes","Rejected after Interview",IF(E205="Yes","Not Selected for Interview","Rejected at Screening")))))</f>
        <v/>
      </c>
    </row>
    <row r="206" customFormat="false" ht="15" hidden="false" customHeight="false" outlineLevel="0" collapsed="false">
      <c r="A206" s="25"/>
      <c r="B206" s="25"/>
      <c r="C206" s="25"/>
      <c r="D206" s="26"/>
      <c r="E206" s="27"/>
      <c r="F206" s="27"/>
      <c r="G206" s="27"/>
      <c r="H206" s="27"/>
      <c r="I206" s="26"/>
      <c r="J206" s="23" t="str">
        <f aca="false">IF(A206="","",IF(AND(H206="Yes",I206&lt;&gt;""),I206-D206,""))</f>
        <v/>
      </c>
      <c r="K206" s="24" t="str">
        <f aca="false">IF(A206="","",IF(H206="Yes","Joined",IF(G206="Yes","Offer Declined",IF(F206="Yes","Rejected after Interview",IF(E206="Yes","Not Selected for Interview","Rejected at Screening")))))</f>
        <v/>
      </c>
    </row>
    <row r="207" customFormat="false" ht="15" hidden="false" customHeight="false" outlineLevel="0" collapsed="false">
      <c r="A207" s="25"/>
      <c r="B207" s="25"/>
      <c r="C207" s="25"/>
      <c r="D207" s="26"/>
      <c r="E207" s="27"/>
      <c r="F207" s="27"/>
      <c r="G207" s="27"/>
      <c r="H207" s="27"/>
      <c r="I207" s="26"/>
      <c r="J207" s="23" t="str">
        <f aca="false">IF(A207="","",IF(AND(H207="Yes",I207&lt;&gt;""),I207-D207,""))</f>
        <v/>
      </c>
      <c r="K207" s="24" t="str">
        <f aca="false">IF(A207="","",IF(H207="Yes","Joined",IF(G207="Yes","Offer Declined",IF(F207="Yes","Rejected after Interview",IF(E207="Yes","Not Selected for Interview","Rejected at Screening")))))</f>
        <v/>
      </c>
    </row>
    <row r="208" customFormat="false" ht="15" hidden="false" customHeight="false" outlineLevel="0" collapsed="false">
      <c r="A208" s="25"/>
      <c r="B208" s="25"/>
      <c r="C208" s="25"/>
      <c r="D208" s="26"/>
      <c r="E208" s="27"/>
      <c r="F208" s="27"/>
      <c r="G208" s="27"/>
      <c r="H208" s="27"/>
      <c r="I208" s="26"/>
      <c r="J208" s="23" t="str">
        <f aca="false">IF(A208="","",IF(AND(H208="Yes",I208&lt;&gt;""),I208-D208,""))</f>
        <v/>
      </c>
      <c r="K208" s="24" t="str">
        <f aca="false">IF(A208="","",IF(H208="Yes","Joined",IF(G208="Yes","Offer Declined",IF(F208="Yes","Rejected after Interview",IF(E208="Yes","Not Selected for Interview","Rejected at Screening")))))</f>
        <v/>
      </c>
    </row>
    <row r="209" customFormat="false" ht="15" hidden="false" customHeight="false" outlineLevel="0" collapsed="false">
      <c r="A209" s="25"/>
      <c r="B209" s="25"/>
      <c r="C209" s="25"/>
      <c r="D209" s="26"/>
      <c r="E209" s="27"/>
      <c r="F209" s="27"/>
      <c r="G209" s="27"/>
      <c r="H209" s="27"/>
      <c r="I209" s="26"/>
      <c r="J209" s="23" t="str">
        <f aca="false">IF(A209="","",IF(AND(H209="Yes",I209&lt;&gt;""),I209-D209,""))</f>
        <v/>
      </c>
      <c r="K209" s="24" t="str">
        <f aca="false">IF(A209="","",IF(H209="Yes","Joined",IF(G209="Yes","Offer Declined",IF(F209="Yes","Rejected after Interview",IF(E209="Yes","Not Selected for Interview","Rejected at Screening")))))</f>
        <v/>
      </c>
    </row>
    <row r="210" customFormat="false" ht="15" hidden="false" customHeight="false" outlineLevel="0" collapsed="false">
      <c r="A210" s="25"/>
      <c r="B210" s="25"/>
      <c r="C210" s="25"/>
      <c r="D210" s="26"/>
      <c r="E210" s="27"/>
      <c r="F210" s="27"/>
      <c r="G210" s="27"/>
      <c r="H210" s="27"/>
      <c r="I210" s="26"/>
      <c r="J210" s="23" t="str">
        <f aca="false">IF(A210="","",IF(AND(H210="Yes",I210&lt;&gt;""),I210-D210,""))</f>
        <v/>
      </c>
      <c r="K210" s="24" t="str">
        <f aca="false">IF(A210="","",IF(H210="Yes","Joined",IF(G210="Yes","Offer Declined",IF(F210="Yes","Rejected after Interview",IF(E210="Yes","Not Selected for Interview","Rejected at Screening")))))</f>
        <v/>
      </c>
    </row>
    <row r="211" customFormat="false" ht="15" hidden="false" customHeight="false" outlineLevel="0" collapsed="false">
      <c r="A211" s="25"/>
      <c r="B211" s="25"/>
      <c r="C211" s="25"/>
      <c r="D211" s="26"/>
      <c r="E211" s="27"/>
      <c r="F211" s="27"/>
      <c r="G211" s="27"/>
      <c r="H211" s="27"/>
      <c r="I211" s="26"/>
      <c r="J211" s="23" t="str">
        <f aca="false">IF(A211="","",IF(AND(H211="Yes",I211&lt;&gt;""),I211-D211,""))</f>
        <v/>
      </c>
      <c r="K211" s="24" t="str">
        <f aca="false">IF(A211="","",IF(H211="Yes","Joined",IF(G211="Yes","Offer Declined",IF(F211="Yes","Rejected after Interview",IF(E211="Yes","Not Selected for Interview","Rejected at Screening")))))</f>
        <v/>
      </c>
    </row>
    <row r="212" customFormat="false" ht="15" hidden="false" customHeight="false" outlineLevel="0" collapsed="false">
      <c r="A212" s="25"/>
      <c r="B212" s="25"/>
      <c r="C212" s="25"/>
      <c r="D212" s="26"/>
      <c r="E212" s="27"/>
      <c r="F212" s="27"/>
      <c r="G212" s="27"/>
      <c r="H212" s="27"/>
      <c r="I212" s="26"/>
      <c r="J212" s="23" t="str">
        <f aca="false">IF(A212="","",IF(AND(H212="Yes",I212&lt;&gt;""),I212-D212,""))</f>
        <v/>
      </c>
      <c r="K212" s="24" t="str">
        <f aca="false">IF(A212="","",IF(H212="Yes","Joined",IF(G212="Yes","Offer Declined",IF(F212="Yes","Rejected after Interview",IF(E212="Yes","Not Selected for Interview","Rejected at Screening")))))</f>
        <v/>
      </c>
    </row>
    <row r="213" customFormat="false" ht="15" hidden="false" customHeight="false" outlineLevel="0" collapsed="false">
      <c r="A213" s="25"/>
      <c r="B213" s="25"/>
      <c r="C213" s="25"/>
      <c r="D213" s="26"/>
      <c r="E213" s="27"/>
      <c r="F213" s="27"/>
      <c r="G213" s="27"/>
      <c r="H213" s="27"/>
      <c r="I213" s="26"/>
      <c r="J213" s="23" t="str">
        <f aca="false">IF(A213="","",IF(AND(H213="Yes",I213&lt;&gt;""),I213-D213,""))</f>
        <v/>
      </c>
      <c r="K213" s="24" t="str">
        <f aca="false">IF(A213="","",IF(H213="Yes","Joined",IF(G213="Yes","Offer Declined",IF(F213="Yes","Rejected after Interview",IF(E213="Yes","Not Selected for Interview","Rejected at Screening")))))</f>
        <v/>
      </c>
    </row>
    <row r="214" customFormat="false" ht="15" hidden="false" customHeight="false" outlineLevel="0" collapsed="false">
      <c r="A214" s="25"/>
      <c r="B214" s="25"/>
      <c r="C214" s="25"/>
      <c r="D214" s="26"/>
      <c r="E214" s="27"/>
      <c r="F214" s="27"/>
      <c r="G214" s="27"/>
      <c r="H214" s="27"/>
      <c r="I214" s="26"/>
      <c r="J214" s="23" t="str">
        <f aca="false">IF(A214="","",IF(AND(H214="Yes",I214&lt;&gt;""),I214-D214,""))</f>
        <v/>
      </c>
      <c r="K214" s="24" t="str">
        <f aca="false">IF(A214="","",IF(H214="Yes","Joined",IF(G214="Yes","Offer Declined",IF(F214="Yes","Rejected after Interview",IF(E214="Yes","Not Selected for Interview","Rejected at Screening")))))</f>
        <v/>
      </c>
    </row>
    <row r="215" customFormat="false" ht="15" hidden="false" customHeight="false" outlineLevel="0" collapsed="false">
      <c r="A215" s="25"/>
      <c r="B215" s="25"/>
      <c r="C215" s="25"/>
      <c r="D215" s="26"/>
      <c r="E215" s="27"/>
      <c r="F215" s="27"/>
      <c r="G215" s="27"/>
      <c r="H215" s="27"/>
      <c r="I215" s="26"/>
      <c r="J215" s="23" t="str">
        <f aca="false">IF(A215="","",IF(AND(H215="Yes",I215&lt;&gt;""),I215-D215,""))</f>
        <v/>
      </c>
      <c r="K215" s="24" t="str">
        <f aca="false">IF(A215="","",IF(H215="Yes","Joined",IF(G215="Yes","Offer Declined",IF(F215="Yes","Rejected after Interview",IF(E215="Yes","Not Selected for Interview","Rejected at Screening")))))</f>
        <v/>
      </c>
    </row>
    <row r="216" customFormat="false" ht="15" hidden="false" customHeight="false" outlineLevel="0" collapsed="false">
      <c r="A216" s="25"/>
      <c r="B216" s="25"/>
      <c r="C216" s="25"/>
      <c r="D216" s="26"/>
      <c r="E216" s="27"/>
      <c r="F216" s="27"/>
      <c r="G216" s="27"/>
      <c r="H216" s="27"/>
      <c r="I216" s="26"/>
      <c r="J216" s="23" t="str">
        <f aca="false">IF(A216="","",IF(AND(H216="Yes",I216&lt;&gt;""),I216-D216,""))</f>
        <v/>
      </c>
      <c r="K216" s="24" t="str">
        <f aca="false">IF(A216="","",IF(H216="Yes","Joined",IF(G216="Yes","Offer Declined",IF(F216="Yes","Rejected after Interview",IF(E216="Yes","Not Selected for Interview","Rejected at Screening")))))</f>
        <v/>
      </c>
    </row>
    <row r="217" customFormat="false" ht="15" hidden="false" customHeight="false" outlineLevel="0" collapsed="false">
      <c r="A217" s="25"/>
      <c r="B217" s="25"/>
      <c r="C217" s="25"/>
      <c r="D217" s="26"/>
      <c r="E217" s="27"/>
      <c r="F217" s="27"/>
      <c r="G217" s="27"/>
      <c r="H217" s="27"/>
      <c r="I217" s="26"/>
      <c r="J217" s="23" t="str">
        <f aca="false">IF(A217="","",IF(AND(H217="Yes",I217&lt;&gt;""),I217-D217,""))</f>
        <v/>
      </c>
      <c r="K217" s="24" t="str">
        <f aca="false">IF(A217="","",IF(H217="Yes","Joined",IF(G217="Yes","Offer Declined",IF(F217="Yes","Rejected after Interview",IF(E217="Yes","Not Selected for Interview","Rejected at Screening")))))</f>
        <v/>
      </c>
    </row>
    <row r="218" customFormat="false" ht="15" hidden="false" customHeight="false" outlineLevel="0" collapsed="false">
      <c r="A218" s="25"/>
      <c r="B218" s="25"/>
      <c r="C218" s="25"/>
      <c r="D218" s="26"/>
      <c r="E218" s="27"/>
      <c r="F218" s="27"/>
      <c r="G218" s="27"/>
      <c r="H218" s="27"/>
      <c r="I218" s="26"/>
      <c r="J218" s="23" t="str">
        <f aca="false">IF(A218="","",IF(AND(H218="Yes",I218&lt;&gt;""),I218-D218,""))</f>
        <v/>
      </c>
      <c r="K218" s="24" t="str">
        <f aca="false">IF(A218="","",IF(H218="Yes","Joined",IF(G218="Yes","Offer Declined",IF(F218="Yes","Rejected after Interview",IF(E218="Yes","Not Selected for Interview","Rejected at Screening")))))</f>
        <v/>
      </c>
    </row>
    <row r="219" customFormat="false" ht="15" hidden="false" customHeight="false" outlineLevel="0" collapsed="false">
      <c r="A219" s="25"/>
      <c r="B219" s="25"/>
      <c r="C219" s="25"/>
      <c r="D219" s="26"/>
      <c r="E219" s="27"/>
      <c r="F219" s="27"/>
      <c r="G219" s="27"/>
      <c r="H219" s="27"/>
      <c r="I219" s="26"/>
      <c r="J219" s="23" t="str">
        <f aca="false">IF(A219="","",IF(AND(H219="Yes",I219&lt;&gt;""),I219-D219,""))</f>
        <v/>
      </c>
      <c r="K219" s="24" t="str">
        <f aca="false">IF(A219="","",IF(H219="Yes","Joined",IF(G219="Yes","Offer Declined",IF(F219="Yes","Rejected after Interview",IF(E219="Yes","Not Selected for Interview","Rejected at Screening")))))</f>
        <v/>
      </c>
    </row>
    <row r="220" customFormat="false" ht="15" hidden="false" customHeight="false" outlineLevel="0" collapsed="false">
      <c r="A220" s="25"/>
      <c r="B220" s="25"/>
      <c r="C220" s="25"/>
      <c r="D220" s="26"/>
      <c r="E220" s="27"/>
      <c r="F220" s="27"/>
      <c r="G220" s="27"/>
      <c r="H220" s="27"/>
      <c r="I220" s="26"/>
      <c r="J220" s="23" t="str">
        <f aca="false">IF(A220="","",IF(AND(H220="Yes",I220&lt;&gt;""),I220-D220,""))</f>
        <v/>
      </c>
      <c r="K220" s="24" t="str">
        <f aca="false">IF(A220="","",IF(H220="Yes","Joined",IF(G220="Yes","Offer Declined",IF(F220="Yes","Rejected after Interview",IF(E220="Yes","Not Selected for Interview","Rejected at Screening")))))</f>
        <v/>
      </c>
    </row>
    <row r="221" customFormat="false" ht="15" hidden="false" customHeight="false" outlineLevel="0" collapsed="false">
      <c r="A221" s="25"/>
      <c r="B221" s="25"/>
      <c r="C221" s="25"/>
      <c r="D221" s="26"/>
      <c r="E221" s="27"/>
      <c r="F221" s="27"/>
      <c r="G221" s="27"/>
      <c r="H221" s="27"/>
      <c r="I221" s="26"/>
      <c r="J221" s="23" t="str">
        <f aca="false">IF(A221="","",IF(AND(H221="Yes",I221&lt;&gt;""),I221-D221,""))</f>
        <v/>
      </c>
      <c r="K221" s="24" t="str">
        <f aca="false">IF(A221="","",IF(H221="Yes","Joined",IF(G221="Yes","Offer Declined",IF(F221="Yes","Rejected after Interview",IF(E221="Yes","Not Selected for Interview","Rejected at Screening")))))</f>
        <v/>
      </c>
    </row>
    <row r="222" customFormat="false" ht="15" hidden="false" customHeight="false" outlineLevel="0" collapsed="false">
      <c r="A222" s="25"/>
      <c r="B222" s="25"/>
      <c r="C222" s="25"/>
      <c r="D222" s="26"/>
      <c r="E222" s="27"/>
      <c r="F222" s="27"/>
      <c r="G222" s="27"/>
      <c r="H222" s="27"/>
      <c r="I222" s="26"/>
      <c r="J222" s="23" t="str">
        <f aca="false">IF(A222="","",IF(AND(H222="Yes",I222&lt;&gt;""),I222-D222,""))</f>
        <v/>
      </c>
      <c r="K222" s="24" t="str">
        <f aca="false">IF(A222="","",IF(H222="Yes","Joined",IF(G222="Yes","Offer Declined",IF(F222="Yes","Rejected after Interview",IF(E222="Yes","Not Selected for Interview","Rejected at Screening")))))</f>
        <v/>
      </c>
    </row>
    <row r="223" customFormat="false" ht="15" hidden="false" customHeight="false" outlineLevel="0" collapsed="false">
      <c r="A223" s="25"/>
      <c r="B223" s="25"/>
      <c r="C223" s="25"/>
      <c r="D223" s="26"/>
      <c r="E223" s="27"/>
      <c r="F223" s="27"/>
      <c r="G223" s="27"/>
      <c r="H223" s="27"/>
      <c r="I223" s="26"/>
      <c r="J223" s="23" t="str">
        <f aca="false">IF(A223="","",IF(AND(H223="Yes",I223&lt;&gt;""),I223-D223,""))</f>
        <v/>
      </c>
      <c r="K223" s="24" t="str">
        <f aca="false">IF(A223="","",IF(H223="Yes","Joined",IF(G223="Yes","Offer Declined",IF(F223="Yes","Rejected after Interview",IF(E223="Yes","Not Selected for Interview","Rejected at Screening")))))</f>
        <v/>
      </c>
    </row>
    <row r="224" customFormat="false" ht="15" hidden="false" customHeight="false" outlineLevel="0" collapsed="false">
      <c r="A224" s="25"/>
      <c r="B224" s="25"/>
      <c r="C224" s="25"/>
      <c r="D224" s="26"/>
      <c r="E224" s="27"/>
      <c r="F224" s="27"/>
      <c r="G224" s="27"/>
      <c r="H224" s="27"/>
      <c r="I224" s="26"/>
      <c r="J224" s="23" t="str">
        <f aca="false">IF(A224="","",IF(AND(H224="Yes",I224&lt;&gt;""),I224-D224,""))</f>
        <v/>
      </c>
      <c r="K224" s="24" t="str">
        <f aca="false">IF(A224="","",IF(H224="Yes","Joined",IF(G224="Yes","Offer Declined",IF(F224="Yes","Rejected after Interview",IF(E224="Yes","Not Selected for Interview","Rejected at Screening")))))</f>
        <v/>
      </c>
    </row>
    <row r="225" customFormat="false" ht="15" hidden="false" customHeight="false" outlineLevel="0" collapsed="false">
      <c r="A225" s="25"/>
      <c r="B225" s="25"/>
      <c r="C225" s="25"/>
      <c r="D225" s="26"/>
      <c r="E225" s="27"/>
      <c r="F225" s="27"/>
      <c r="G225" s="27"/>
      <c r="H225" s="27"/>
      <c r="I225" s="26"/>
      <c r="J225" s="23" t="str">
        <f aca="false">IF(A225="","",IF(AND(H225="Yes",I225&lt;&gt;""),I225-D225,""))</f>
        <v/>
      </c>
      <c r="K225" s="24" t="str">
        <f aca="false">IF(A225="","",IF(H225="Yes","Joined",IF(G225="Yes","Offer Declined",IF(F225="Yes","Rejected after Interview",IF(E225="Yes","Not Selected for Interview","Rejected at Screening")))))</f>
        <v/>
      </c>
    </row>
    <row r="226" customFormat="false" ht="15" hidden="false" customHeight="false" outlineLevel="0" collapsed="false">
      <c r="A226" s="25"/>
      <c r="B226" s="25"/>
      <c r="C226" s="25"/>
      <c r="D226" s="26"/>
      <c r="E226" s="27"/>
      <c r="F226" s="27"/>
      <c r="G226" s="27"/>
      <c r="H226" s="27"/>
      <c r="I226" s="26"/>
      <c r="J226" s="23" t="str">
        <f aca="false">IF(A226="","",IF(AND(H226="Yes",I226&lt;&gt;""),I226-D226,""))</f>
        <v/>
      </c>
      <c r="K226" s="24" t="str">
        <f aca="false">IF(A226="","",IF(H226="Yes","Joined",IF(G226="Yes","Offer Declined",IF(F226="Yes","Rejected after Interview",IF(E226="Yes","Not Selected for Interview","Rejected at Screening")))))</f>
        <v/>
      </c>
    </row>
    <row r="227" customFormat="false" ht="15" hidden="false" customHeight="false" outlineLevel="0" collapsed="false">
      <c r="A227" s="25"/>
      <c r="B227" s="25"/>
      <c r="C227" s="25"/>
      <c r="D227" s="26"/>
      <c r="E227" s="27"/>
      <c r="F227" s="27"/>
      <c r="G227" s="27"/>
      <c r="H227" s="27"/>
      <c r="I227" s="26"/>
      <c r="J227" s="23" t="str">
        <f aca="false">IF(A227="","",IF(AND(H227="Yes",I227&lt;&gt;""),I227-D227,""))</f>
        <v/>
      </c>
      <c r="K227" s="24" t="str">
        <f aca="false">IF(A227="","",IF(H227="Yes","Joined",IF(G227="Yes","Offer Declined",IF(F227="Yes","Rejected after Interview",IF(E227="Yes","Not Selected for Interview","Rejected at Screening")))))</f>
        <v/>
      </c>
    </row>
    <row r="228" customFormat="false" ht="15" hidden="false" customHeight="false" outlineLevel="0" collapsed="false">
      <c r="A228" s="25"/>
      <c r="B228" s="25"/>
      <c r="C228" s="25"/>
      <c r="D228" s="26"/>
      <c r="E228" s="27"/>
      <c r="F228" s="27"/>
      <c r="G228" s="27"/>
      <c r="H228" s="27"/>
      <c r="I228" s="26"/>
      <c r="J228" s="23" t="str">
        <f aca="false">IF(A228="","",IF(AND(H228="Yes",I228&lt;&gt;""),I228-D228,""))</f>
        <v/>
      </c>
      <c r="K228" s="24" t="str">
        <f aca="false">IF(A228="","",IF(H228="Yes","Joined",IF(G228="Yes","Offer Declined",IF(F228="Yes","Rejected after Interview",IF(E228="Yes","Not Selected for Interview","Rejected at Screening")))))</f>
        <v/>
      </c>
    </row>
    <row r="229" customFormat="false" ht="15" hidden="false" customHeight="false" outlineLevel="0" collapsed="false">
      <c r="A229" s="25"/>
      <c r="B229" s="25"/>
      <c r="C229" s="25"/>
      <c r="D229" s="26"/>
      <c r="E229" s="27"/>
      <c r="F229" s="27"/>
      <c r="G229" s="27"/>
      <c r="H229" s="27"/>
      <c r="I229" s="26"/>
      <c r="J229" s="23" t="str">
        <f aca="false">IF(A229="","",IF(AND(H229="Yes",I229&lt;&gt;""),I229-D229,""))</f>
        <v/>
      </c>
      <c r="K229" s="24" t="str">
        <f aca="false">IF(A229="","",IF(H229="Yes","Joined",IF(G229="Yes","Offer Declined",IF(F229="Yes","Rejected after Interview",IF(E229="Yes","Not Selected for Interview","Rejected at Screening")))))</f>
        <v/>
      </c>
    </row>
    <row r="230" customFormat="false" ht="15" hidden="false" customHeight="false" outlineLevel="0" collapsed="false">
      <c r="A230" s="25"/>
      <c r="B230" s="25"/>
      <c r="C230" s="25"/>
      <c r="D230" s="26"/>
      <c r="E230" s="27"/>
      <c r="F230" s="27"/>
      <c r="G230" s="27"/>
      <c r="H230" s="27"/>
      <c r="I230" s="26"/>
      <c r="J230" s="23" t="str">
        <f aca="false">IF(A230="","",IF(AND(H230="Yes",I230&lt;&gt;""),I230-D230,""))</f>
        <v/>
      </c>
      <c r="K230" s="24" t="str">
        <f aca="false">IF(A230="","",IF(H230="Yes","Joined",IF(G230="Yes","Offer Declined",IF(F230="Yes","Rejected after Interview",IF(E230="Yes","Not Selected for Interview","Rejected at Screening")))))</f>
        <v/>
      </c>
    </row>
    <row r="231" customFormat="false" ht="15" hidden="false" customHeight="false" outlineLevel="0" collapsed="false">
      <c r="A231" s="25"/>
      <c r="B231" s="25"/>
      <c r="C231" s="25"/>
      <c r="D231" s="26"/>
      <c r="E231" s="27"/>
      <c r="F231" s="27"/>
      <c r="G231" s="27"/>
      <c r="H231" s="27"/>
      <c r="I231" s="26"/>
      <c r="J231" s="23" t="str">
        <f aca="false">IF(A231="","",IF(AND(H231="Yes",I231&lt;&gt;""),I231-D231,""))</f>
        <v/>
      </c>
      <c r="K231" s="24" t="str">
        <f aca="false">IF(A231="","",IF(H231="Yes","Joined",IF(G231="Yes","Offer Declined",IF(F231="Yes","Rejected after Interview",IF(E231="Yes","Not Selected for Interview","Rejected at Screening")))))</f>
        <v/>
      </c>
    </row>
    <row r="232" customFormat="false" ht="15" hidden="false" customHeight="false" outlineLevel="0" collapsed="false">
      <c r="A232" s="25"/>
      <c r="B232" s="25"/>
      <c r="C232" s="25"/>
      <c r="D232" s="26"/>
      <c r="E232" s="27"/>
      <c r="F232" s="27"/>
      <c r="G232" s="27"/>
      <c r="H232" s="27"/>
      <c r="I232" s="26"/>
      <c r="J232" s="23" t="str">
        <f aca="false">IF(A232="","",IF(AND(H232="Yes",I232&lt;&gt;""),I232-D232,""))</f>
        <v/>
      </c>
      <c r="K232" s="24" t="str">
        <f aca="false">IF(A232="","",IF(H232="Yes","Joined",IF(G232="Yes","Offer Declined",IF(F232="Yes","Rejected after Interview",IF(E232="Yes","Not Selected for Interview","Rejected at Screening")))))</f>
        <v/>
      </c>
    </row>
    <row r="233" customFormat="false" ht="15" hidden="false" customHeight="false" outlineLevel="0" collapsed="false">
      <c r="A233" s="25"/>
      <c r="B233" s="25"/>
      <c r="C233" s="25"/>
      <c r="D233" s="26"/>
      <c r="E233" s="27"/>
      <c r="F233" s="27"/>
      <c r="G233" s="27"/>
      <c r="H233" s="27"/>
      <c r="I233" s="26"/>
      <c r="J233" s="23" t="str">
        <f aca="false">IF(A233="","",IF(AND(H233="Yes",I233&lt;&gt;""),I233-D233,""))</f>
        <v/>
      </c>
      <c r="K233" s="24" t="str">
        <f aca="false">IF(A233="","",IF(H233="Yes","Joined",IF(G233="Yes","Offer Declined",IF(F233="Yes","Rejected after Interview",IF(E233="Yes","Not Selected for Interview","Rejected at Screening")))))</f>
        <v/>
      </c>
    </row>
    <row r="234" customFormat="false" ht="15" hidden="false" customHeight="false" outlineLevel="0" collapsed="false">
      <c r="A234" s="25"/>
      <c r="B234" s="25"/>
      <c r="C234" s="25"/>
      <c r="D234" s="26"/>
      <c r="E234" s="27"/>
      <c r="F234" s="27"/>
      <c r="G234" s="27"/>
      <c r="H234" s="27"/>
      <c r="I234" s="26"/>
      <c r="J234" s="23" t="str">
        <f aca="false">IF(A234="","",IF(AND(H234="Yes",I234&lt;&gt;""),I234-D234,""))</f>
        <v/>
      </c>
      <c r="K234" s="24" t="str">
        <f aca="false">IF(A234="","",IF(H234="Yes","Joined",IF(G234="Yes","Offer Declined",IF(F234="Yes","Rejected after Interview",IF(E234="Yes","Not Selected for Interview","Rejected at Screening")))))</f>
        <v/>
      </c>
    </row>
    <row r="235" customFormat="false" ht="15" hidden="false" customHeight="false" outlineLevel="0" collapsed="false">
      <c r="A235" s="25"/>
      <c r="B235" s="25"/>
      <c r="C235" s="25"/>
      <c r="D235" s="26"/>
      <c r="E235" s="27"/>
      <c r="F235" s="27"/>
      <c r="G235" s="27"/>
      <c r="H235" s="27"/>
      <c r="I235" s="26"/>
      <c r="J235" s="23" t="str">
        <f aca="false">IF(A235="","",IF(AND(H235="Yes",I235&lt;&gt;""),I235-D235,""))</f>
        <v/>
      </c>
      <c r="K235" s="24" t="str">
        <f aca="false">IF(A235="","",IF(H235="Yes","Joined",IF(G235="Yes","Offer Declined",IF(F235="Yes","Rejected after Interview",IF(E235="Yes","Not Selected for Interview","Rejected at Screening")))))</f>
        <v/>
      </c>
    </row>
    <row r="236" customFormat="false" ht="15" hidden="false" customHeight="false" outlineLevel="0" collapsed="false">
      <c r="A236" s="25"/>
      <c r="B236" s="25"/>
      <c r="C236" s="25"/>
      <c r="D236" s="26"/>
      <c r="E236" s="27"/>
      <c r="F236" s="27"/>
      <c r="G236" s="27"/>
      <c r="H236" s="27"/>
      <c r="I236" s="26"/>
      <c r="J236" s="23" t="str">
        <f aca="false">IF(A236="","",IF(AND(H236="Yes",I236&lt;&gt;""),I236-D236,""))</f>
        <v/>
      </c>
      <c r="K236" s="24" t="str">
        <f aca="false">IF(A236="","",IF(H236="Yes","Joined",IF(G236="Yes","Offer Declined",IF(F236="Yes","Rejected after Interview",IF(E236="Yes","Not Selected for Interview","Rejected at Screening")))))</f>
        <v/>
      </c>
    </row>
    <row r="237" customFormat="false" ht="15" hidden="false" customHeight="false" outlineLevel="0" collapsed="false">
      <c r="A237" s="25"/>
      <c r="B237" s="25"/>
      <c r="C237" s="25"/>
      <c r="D237" s="26"/>
      <c r="E237" s="27"/>
      <c r="F237" s="27"/>
      <c r="G237" s="27"/>
      <c r="H237" s="27"/>
      <c r="I237" s="26"/>
      <c r="J237" s="23" t="str">
        <f aca="false">IF(A237="","",IF(AND(H237="Yes",I237&lt;&gt;""),I237-D237,""))</f>
        <v/>
      </c>
      <c r="K237" s="24" t="str">
        <f aca="false">IF(A237="","",IF(H237="Yes","Joined",IF(G237="Yes","Offer Declined",IF(F237="Yes","Rejected after Interview",IF(E237="Yes","Not Selected for Interview","Rejected at Screening")))))</f>
        <v/>
      </c>
    </row>
    <row r="238" customFormat="false" ht="15" hidden="false" customHeight="false" outlineLevel="0" collapsed="false">
      <c r="A238" s="25"/>
      <c r="B238" s="25"/>
      <c r="C238" s="25"/>
      <c r="D238" s="26"/>
      <c r="E238" s="27"/>
      <c r="F238" s="27"/>
      <c r="G238" s="27"/>
      <c r="H238" s="27"/>
      <c r="I238" s="26"/>
      <c r="J238" s="23" t="str">
        <f aca="false">IF(A238="","",IF(AND(H238="Yes",I238&lt;&gt;""),I238-D238,""))</f>
        <v/>
      </c>
      <c r="K238" s="24" t="str">
        <f aca="false">IF(A238="","",IF(H238="Yes","Joined",IF(G238="Yes","Offer Declined",IF(F238="Yes","Rejected after Interview",IF(E238="Yes","Not Selected for Interview","Rejected at Screening")))))</f>
        <v/>
      </c>
    </row>
    <row r="239" customFormat="false" ht="15" hidden="false" customHeight="false" outlineLevel="0" collapsed="false">
      <c r="A239" s="25"/>
      <c r="B239" s="25"/>
      <c r="C239" s="25"/>
      <c r="D239" s="26"/>
      <c r="E239" s="27"/>
      <c r="F239" s="27"/>
      <c r="G239" s="27"/>
      <c r="H239" s="27"/>
      <c r="I239" s="26"/>
      <c r="J239" s="23" t="str">
        <f aca="false">IF(A239="","",IF(AND(H239="Yes",I239&lt;&gt;""),I239-D239,""))</f>
        <v/>
      </c>
      <c r="K239" s="24" t="str">
        <f aca="false">IF(A239="","",IF(H239="Yes","Joined",IF(G239="Yes","Offer Declined",IF(F239="Yes","Rejected after Interview",IF(E239="Yes","Not Selected for Interview","Rejected at Screening")))))</f>
        <v/>
      </c>
    </row>
    <row r="240" customFormat="false" ht="15" hidden="false" customHeight="false" outlineLevel="0" collapsed="false">
      <c r="A240" s="25"/>
      <c r="B240" s="25"/>
      <c r="C240" s="25"/>
      <c r="D240" s="26"/>
      <c r="E240" s="27"/>
      <c r="F240" s="27"/>
      <c r="G240" s="27"/>
      <c r="H240" s="27"/>
      <c r="I240" s="26"/>
      <c r="J240" s="23" t="str">
        <f aca="false">IF(A240="","",IF(AND(H240="Yes",I240&lt;&gt;""),I240-D240,""))</f>
        <v/>
      </c>
      <c r="K240" s="24" t="str">
        <f aca="false">IF(A240="","",IF(H240="Yes","Joined",IF(G240="Yes","Offer Declined",IF(F240="Yes","Rejected after Interview",IF(E240="Yes","Not Selected for Interview","Rejected at Screening")))))</f>
        <v/>
      </c>
    </row>
    <row r="241" customFormat="false" ht="15" hidden="false" customHeight="false" outlineLevel="0" collapsed="false">
      <c r="A241" s="25"/>
      <c r="B241" s="25"/>
      <c r="C241" s="25"/>
      <c r="D241" s="26"/>
      <c r="E241" s="27"/>
      <c r="F241" s="27"/>
      <c r="G241" s="27"/>
      <c r="H241" s="27"/>
      <c r="I241" s="26"/>
      <c r="J241" s="23" t="str">
        <f aca="false">IF(A241="","",IF(AND(H241="Yes",I241&lt;&gt;""),I241-D241,""))</f>
        <v/>
      </c>
      <c r="K241" s="24" t="str">
        <f aca="false">IF(A241="","",IF(H241="Yes","Joined",IF(G241="Yes","Offer Declined",IF(F241="Yes","Rejected after Interview",IF(E241="Yes","Not Selected for Interview","Rejected at Screening")))))</f>
        <v/>
      </c>
    </row>
    <row r="242" customFormat="false" ht="15" hidden="false" customHeight="false" outlineLevel="0" collapsed="false">
      <c r="A242" s="25"/>
      <c r="B242" s="25"/>
      <c r="C242" s="25"/>
      <c r="D242" s="26"/>
      <c r="E242" s="27"/>
      <c r="F242" s="27"/>
      <c r="G242" s="27"/>
      <c r="H242" s="27"/>
      <c r="I242" s="26"/>
      <c r="J242" s="23" t="str">
        <f aca="false">IF(A242="","",IF(AND(H242="Yes",I242&lt;&gt;""),I242-D242,""))</f>
        <v/>
      </c>
      <c r="K242" s="24" t="str">
        <f aca="false">IF(A242="","",IF(H242="Yes","Joined",IF(G242="Yes","Offer Declined",IF(F242="Yes","Rejected after Interview",IF(E242="Yes","Not Selected for Interview","Rejected at Screening")))))</f>
        <v/>
      </c>
    </row>
    <row r="243" customFormat="false" ht="15" hidden="false" customHeight="false" outlineLevel="0" collapsed="false">
      <c r="A243" s="25"/>
      <c r="B243" s="25"/>
      <c r="C243" s="25"/>
      <c r="D243" s="26"/>
      <c r="E243" s="27"/>
      <c r="F243" s="27"/>
      <c r="G243" s="27"/>
      <c r="H243" s="27"/>
      <c r="I243" s="26"/>
      <c r="J243" s="23" t="str">
        <f aca="false">IF(A243="","",IF(AND(H243="Yes",I243&lt;&gt;""),I243-D243,""))</f>
        <v/>
      </c>
      <c r="K243" s="24" t="str">
        <f aca="false">IF(A243="","",IF(H243="Yes","Joined",IF(G243="Yes","Offer Declined",IF(F243="Yes","Rejected after Interview",IF(E243="Yes","Not Selected for Interview","Rejected at Screening")))))</f>
        <v/>
      </c>
    </row>
    <row r="244" customFormat="false" ht="15" hidden="false" customHeight="false" outlineLevel="0" collapsed="false">
      <c r="A244" s="25"/>
      <c r="B244" s="25"/>
      <c r="C244" s="25"/>
      <c r="D244" s="26"/>
      <c r="E244" s="27"/>
      <c r="F244" s="27"/>
      <c r="G244" s="27"/>
      <c r="H244" s="27"/>
      <c r="I244" s="26"/>
      <c r="J244" s="23" t="str">
        <f aca="false">IF(A244="","",IF(AND(H244="Yes",I244&lt;&gt;""),I244-D244,""))</f>
        <v/>
      </c>
      <c r="K244" s="24" t="str">
        <f aca="false">IF(A244="","",IF(H244="Yes","Joined",IF(G244="Yes","Offer Declined",IF(F244="Yes","Rejected after Interview",IF(E244="Yes","Not Selected for Interview","Rejected at Screening")))))</f>
        <v/>
      </c>
    </row>
    <row r="245" customFormat="false" ht="15" hidden="false" customHeight="false" outlineLevel="0" collapsed="false">
      <c r="A245" s="25"/>
      <c r="B245" s="25"/>
      <c r="C245" s="25"/>
      <c r="D245" s="26"/>
      <c r="E245" s="27"/>
      <c r="F245" s="27"/>
      <c r="G245" s="27"/>
      <c r="H245" s="27"/>
      <c r="I245" s="26"/>
      <c r="J245" s="23" t="str">
        <f aca="false">IF(A245="","",IF(AND(H245="Yes",I245&lt;&gt;""),I245-D245,""))</f>
        <v/>
      </c>
      <c r="K245" s="24" t="str">
        <f aca="false">IF(A245="","",IF(H245="Yes","Joined",IF(G245="Yes","Offer Declined",IF(F245="Yes","Rejected after Interview",IF(E245="Yes","Not Selected for Interview","Rejected at Screening")))))</f>
        <v/>
      </c>
    </row>
    <row r="246" customFormat="false" ht="15" hidden="false" customHeight="false" outlineLevel="0" collapsed="false">
      <c r="A246" s="25"/>
      <c r="B246" s="25"/>
      <c r="C246" s="25"/>
      <c r="D246" s="26"/>
      <c r="E246" s="27"/>
      <c r="F246" s="27"/>
      <c r="G246" s="27"/>
      <c r="H246" s="27"/>
      <c r="I246" s="26"/>
      <c r="J246" s="23" t="str">
        <f aca="false">IF(A246="","",IF(AND(H246="Yes",I246&lt;&gt;""),I246-D246,""))</f>
        <v/>
      </c>
      <c r="K246" s="24" t="str">
        <f aca="false">IF(A246="","",IF(H246="Yes","Joined",IF(G246="Yes","Offer Declined",IF(F246="Yes","Rejected after Interview",IF(E246="Yes","Not Selected for Interview","Rejected at Screening")))))</f>
        <v/>
      </c>
    </row>
    <row r="247" customFormat="false" ht="15" hidden="false" customHeight="false" outlineLevel="0" collapsed="false">
      <c r="A247" s="25"/>
      <c r="B247" s="25"/>
      <c r="C247" s="25"/>
      <c r="D247" s="26"/>
      <c r="E247" s="27"/>
      <c r="F247" s="27"/>
      <c r="G247" s="27"/>
      <c r="H247" s="27"/>
      <c r="I247" s="26"/>
      <c r="J247" s="23" t="str">
        <f aca="false">IF(A247="","",IF(AND(H247="Yes",I247&lt;&gt;""),I247-D247,""))</f>
        <v/>
      </c>
      <c r="K247" s="24" t="str">
        <f aca="false">IF(A247="","",IF(H247="Yes","Joined",IF(G247="Yes","Offer Declined",IF(F247="Yes","Rejected after Interview",IF(E247="Yes","Not Selected for Interview","Rejected at Screening")))))</f>
        <v/>
      </c>
    </row>
    <row r="248" customFormat="false" ht="15" hidden="false" customHeight="false" outlineLevel="0" collapsed="false">
      <c r="A248" s="25"/>
      <c r="B248" s="25"/>
      <c r="C248" s="25"/>
      <c r="D248" s="26"/>
      <c r="E248" s="27"/>
      <c r="F248" s="27"/>
      <c r="G248" s="27"/>
      <c r="H248" s="27"/>
      <c r="I248" s="26"/>
      <c r="J248" s="23" t="str">
        <f aca="false">IF(A248="","",IF(AND(H248="Yes",I248&lt;&gt;""),I248-D248,""))</f>
        <v/>
      </c>
      <c r="K248" s="24" t="str">
        <f aca="false">IF(A248="","",IF(H248="Yes","Joined",IF(G248="Yes","Offer Declined",IF(F248="Yes","Rejected after Interview",IF(E248="Yes","Not Selected for Interview","Rejected at Screening")))))</f>
        <v/>
      </c>
    </row>
    <row r="249" customFormat="false" ht="15" hidden="false" customHeight="false" outlineLevel="0" collapsed="false">
      <c r="A249" s="25"/>
      <c r="B249" s="25"/>
      <c r="C249" s="25"/>
      <c r="D249" s="26"/>
      <c r="E249" s="27"/>
      <c r="F249" s="27"/>
      <c r="G249" s="27"/>
      <c r="H249" s="27"/>
      <c r="I249" s="26"/>
      <c r="J249" s="23" t="str">
        <f aca="false">IF(A249="","",IF(AND(H249="Yes",I249&lt;&gt;""),I249-D249,""))</f>
        <v/>
      </c>
      <c r="K249" s="24" t="str">
        <f aca="false">IF(A249="","",IF(H249="Yes","Joined",IF(G249="Yes","Offer Declined",IF(F249="Yes","Rejected after Interview",IF(E249="Yes","Not Selected for Interview","Rejected at Screening")))))</f>
        <v/>
      </c>
    </row>
    <row r="250" customFormat="false" ht="15" hidden="false" customHeight="false" outlineLevel="0" collapsed="false">
      <c r="A250" s="25"/>
      <c r="B250" s="25"/>
      <c r="C250" s="25"/>
      <c r="D250" s="26"/>
      <c r="E250" s="27"/>
      <c r="F250" s="27"/>
      <c r="G250" s="27"/>
      <c r="H250" s="27"/>
      <c r="I250" s="26"/>
      <c r="J250" s="23" t="str">
        <f aca="false">IF(A250="","",IF(AND(H250="Yes",I250&lt;&gt;""),I250-D250,""))</f>
        <v/>
      </c>
      <c r="K250" s="24" t="str">
        <f aca="false">IF(A250="","",IF(H250="Yes","Joined",IF(G250="Yes","Offer Declined",IF(F250="Yes","Rejected after Interview",IF(E250="Yes","Not Selected for Interview","Rejected at Screening")))))</f>
        <v/>
      </c>
    </row>
    <row r="251" customFormat="false" ht="15" hidden="false" customHeight="false" outlineLevel="0" collapsed="false">
      <c r="A251" s="25"/>
      <c r="B251" s="25"/>
      <c r="C251" s="25"/>
      <c r="D251" s="26"/>
      <c r="E251" s="27"/>
      <c r="F251" s="27"/>
      <c r="G251" s="27"/>
      <c r="H251" s="27"/>
      <c r="I251" s="26"/>
      <c r="J251" s="23" t="str">
        <f aca="false">IF(A251="","",IF(AND(H251="Yes",I251&lt;&gt;""),I251-D251,""))</f>
        <v/>
      </c>
      <c r="K251" s="24" t="str">
        <f aca="false">IF(A251="","",IF(H251="Yes","Joined",IF(G251="Yes","Offer Declined",IF(F251="Yes","Rejected after Interview",IF(E251="Yes","Not Selected for Interview","Rejected at Screening")))))</f>
        <v/>
      </c>
    </row>
    <row r="252" customFormat="false" ht="15" hidden="false" customHeight="false" outlineLevel="0" collapsed="false">
      <c r="A252" s="25"/>
      <c r="B252" s="25"/>
      <c r="C252" s="25"/>
      <c r="D252" s="26"/>
      <c r="E252" s="27"/>
      <c r="F252" s="27"/>
      <c r="G252" s="27"/>
      <c r="H252" s="27"/>
      <c r="I252" s="26"/>
      <c r="J252" s="23" t="str">
        <f aca="false">IF(A252="","",IF(AND(H252="Yes",I252&lt;&gt;""),I252-D252,""))</f>
        <v/>
      </c>
      <c r="K252" s="24" t="str">
        <f aca="false">IF(A252="","",IF(H252="Yes","Joined",IF(G252="Yes","Offer Declined",IF(F252="Yes","Rejected after Interview",IF(E252="Yes","Not Selected for Interview","Rejected at Screening")))))</f>
        <v/>
      </c>
    </row>
    <row r="253" customFormat="false" ht="15" hidden="false" customHeight="false" outlineLevel="0" collapsed="false">
      <c r="A253" s="25"/>
      <c r="B253" s="25"/>
      <c r="C253" s="25"/>
      <c r="D253" s="26"/>
      <c r="E253" s="27"/>
      <c r="F253" s="27"/>
      <c r="G253" s="27"/>
      <c r="H253" s="27"/>
      <c r="I253" s="26"/>
      <c r="J253" s="23" t="str">
        <f aca="false">IF(A253="","",IF(AND(H253="Yes",I253&lt;&gt;""),I253-D253,""))</f>
        <v/>
      </c>
      <c r="K253" s="24" t="str">
        <f aca="false">IF(A253="","",IF(H253="Yes","Joined",IF(G253="Yes","Offer Declined",IF(F253="Yes","Rejected after Interview",IF(E253="Yes","Not Selected for Interview","Rejected at Screening")))))</f>
        <v/>
      </c>
    </row>
    <row r="254" customFormat="false" ht="15" hidden="false" customHeight="false" outlineLevel="0" collapsed="false">
      <c r="A254" s="25"/>
      <c r="B254" s="25"/>
      <c r="C254" s="25"/>
      <c r="D254" s="26"/>
      <c r="E254" s="27"/>
      <c r="F254" s="27"/>
      <c r="G254" s="27"/>
      <c r="H254" s="27"/>
      <c r="I254" s="26"/>
      <c r="J254" s="23" t="str">
        <f aca="false">IF(A254="","",IF(AND(H254="Yes",I254&lt;&gt;""),I254-D254,""))</f>
        <v/>
      </c>
      <c r="K254" s="24" t="str">
        <f aca="false">IF(A254="","",IF(H254="Yes","Joined",IF(G254="Yes","Offer Declined",IF(F254="Yes","Rejected after Interview",IF(E254="Yes","Not Selected for Interview","Rejected at Screening")))))</f>
        <v/>
      </c>
    </row>
    <row r="255" customFormat="false" ht="15" hidden="false" customHeight="false" outlineLevel="0" collapsed="false">
      <c r="A255" s="25"/>
      <c r="B255" s="25"/>
      <c r="C255" s="25"/>
      <c r="D255" s="26"/>
      <c r="E255" s="27"/>
      <c r="F255" s="27"/>
      <c r="G255" s="27"/>
      <c r="H255" s="27"/>
      <c r="I255" s="26"/>
      <c r="J255" s="23" t="str">
        <f aca="false">IF(A255="","",IF(AND(H255="Yes",I255&lt;&gt;""),I255-D255,""))</f>
        <v/>
      </c>
      <c r="K255" s="24" t="str">
        <f aca="false">IF(A255="","",IF(H255="Yes","Joined",IF(G255="Yes","Offer Declined",IF(F255="Yes","Rejected after Interview",IF(E255="Yes","Not Selected for Interview","Rejected at Screening")))))</f>
        <v/>
      </c>
    </row>
    <row r="256" customFormat="false" ht="15" hidden="false" customHeight="false" outlineLevel="0" collapsed="false">
      <c r="A256" s="25"/>
      <c r="B256" s="25"/>
      <c r="C256" s="25"/>
      <c r="D256" s="26"/>
      <c r="E256" s="27"/>
      <c r="F256" s="27"/>
      <c r="G256" s="27"/>
      <c r="H256" s="27"/>
      <c r="I256" s="26"/>
      <c r="J256" s="23" t="str">
        <f aca="false">IF(A256="","",IF(AND(H256="Yes",I256&lt;&gt;""),I256-D256,""))</f>
        <v/>
      </c>
      <c r="K256" s="24" t="str">
        <f aca="false">IF(A256="","",IF(H256="Yes","Joined",IF(G256="Yes","Offer Declined",IF(F256="Yes","Rejected after Interview",IF(E256="Yes","Not Selected for Interview","Rejected at Screening")))))</f>
        <v/>
      </c>
    </row>
    <row r="257" customFormat="false" ht="15" hidden="false" customHeight="false" outlineLevel="0" collapsed="false">
      <c r="A257" s="25"/>
      <c r="B257" s="25"/>
      <c r="C257" s="25"/>
      <c r="D257" s="26"/>
      <c r="E257" s="27"/>
      <c r="F257" s="27"/>
      <c r="G257" s="27"/>
      <c r="H257" s="27"/>
      <c r="I257" s="26"/>
      <c r="J257" s="23" t="str">
        <f aca="false">IF(A257="","",IF(AND(H257="Yes",I257&lt;&gt;""),I257-D257,""))</f>
        <v/>
      </c>
      <c r="K257" s="24" t="str">
        <f aca="false">IF(A257="","",IF(H257="Yes","Joined",IF(G257="Yes","Offer Declined",IF(F257="Yes","Rejected after Interview",IF(E257="Yes","Not Selected for Interview","Rejected at Screening")))))</f>
        <v/>
      </c>
    </row>
    <row r="258" customFormat="false" ht="15" hidden="false" customHeight="false" outlineLevel="0" collapsed="false">
      <c r="A258" s="25"/>
      <c r="B258" s="25"/>
      <c r="C258" s="25"/>
      <c r="D258" s="26"/>
      <c r="E258" s="27"/>
      <c r="F258" s="27"/>
      <c r="G258" s="27"/>
      <c r="H258" s="27"/>
      <c r="I258" s="26"/>
      <c r="J258" s="23" t="str">
        <f aca="false">IF(A258="","",IF(AND(H258="Yes",I258&lt;&gt;""),I258-D258,""))</f>
        <v/>
      </c>
      <c r="K258" s="24" t="str">
        <f aca="false">IF(A258="","",IF(H258="Yes","Joined",IF(G258="Yes","Offer Declined",IF(F258="Yes","Rejected after Interview",IF(E258="Yes","Not Selected for Interview","Rejected at Screening")))))</f>
        <v/>
      </c>
    </row>
    <row r="259" customFormat="false" ht="15" hidden="false" customHeight="false" outlineLevel="0" collapsed="false">
      <c r="A259" s="25"/>
      <c r="B259" s="25"/>
      <c r="C259" s="25"/>
      <c r="D259" s="26"/>
      <c r="E259" s="27"/>
      <c r="F259" s="27"/>
      <c r="G259" s="27"/>
      <c r="H259" s="27"/>
      <c r="I259" s="26"/>
      <c r="J259" s="23" t="str">
        <f aca="false">IF(A259="","",IF(AND(H259="Yes",I259&lt;&gt;""),I259-D259,""))</f>
        <v/>
      </c>
      <c r="K259" s="24" t="str">
        <f aca="false">IF(A259="","",IF(H259="Yes","Joined",IF(G259="Yes","Offer Declined",IF(F259="Yes","Rejected after Interview",IF(E259="Yes","Not Selected for Interview","Rejected at Screening")))))</f>
        <v/>
      </c>
    </row>
    <row r="260" customFormat="false" ht="15" hidden="false" customHeight="false" outlineLevel="0" collapsed="false">
      <c r="A260" s="25"/>
      <c r="B260" s="25"/>
      <c r="C260" s="25"/>
      <c r="D260" s="26"/>
      <c r="E260" s="27"/>
      <c r="F260" s="27"/>
      <c r="G260" s="27"/>
      <c r="H260" s="27"/>
      <c r="I260" s="26"/>
      <c r="J260" s="23" t="str">
        <f aca="false">IF(A260="","",IF(AND(H260="Yes",I260&lt;&gt;""),I260-D260,""))</f>
        <v/>
      </c>
      <c r="K260" s="24" t="str">
        <f aca="false">IF(A260="","",IF(H260="Yes","Joined",IF(G260="Yes","Offer Declined",IF(F260="Yes","Rejected after Interview",IF(E260="Yes","Not Selected for Interview","Rejected at Screening")))))</f>
        <v/>
      </c>
    </row>
    <row r="261" customFormat="false" ht="15" hidden="false" customHeight="false" outlineLevel="0" collapsed="false">
      <c r="A261" s="25"/>
      <c r="B261" s="25"/>
      <c r="C261" s="25"/>
      <c r="D261" s="26"/>
      <c r="E261" s="27"/>
      <c r="F261" s="27"/>
      <c r="G261" s="27"/>
      <c r="H261" s="27"/>
      <c r="I261" s="26"/>
      <c r="J261" s="23" t="str">
        <f aca="false">IF(A261="","",IF(AND(H261="Yes",I261&lt;&gt;""),I261-D261,""))</f>
        <v/>
      </c>
      <c r="K261" s="24" t="str">
        <f aca="false">IF(A261="","",IF(H261="Yes","Joined",IF(G261="Yes","Offer Declined",IF(F261="Yes","Rejected after Interview",IF(E261="Yes","Not Selected for Interview","Rejected at Screening")))))</f>
        <v/>
      </c>
    </row>
    <row r="262" customFormat="false" ht="15" hidden="false" customHeight="false" outlineLevel="0" collapsed="false">
      <c r="A262" s="25"/>
      <c r="B262" s="25"/>
      <c r="C262" s="25"/>
      <c r="D262" s="26"/>
      <c r="E262" s="27"/>
      <c r="F262" s="27"/>
      <c r="G262" s="27"/>
      <c r="H262" s="27"/>
      <c r="I262" s="26"/>
      <c r="J262" s="23" t="str">
        <f aca="false">IF(A262="","",IF(AND(H262="Yes",I262&lt;&gt;""),I262-D262,""))</f>
        <v/>
      </c>
      <c r="K262" s="24" t="str">
        <f aca="false">IF(A262="","",IF(H262="Yes","Joined",IF(G262="Yes","Offer Declined",IF(F262="Yes","Rejected after Interview",IF(E262="Yes","Not Selected for Interview","Rejected at Screening")))))</f>
        <v/>
      </c>
    </row>
    <row r="263" customFormat="false" ht="15" hidden="false" customHeight="false" outlineLevel="0" collapsed="false">
      <c r="A263" s="25"/>
      <c r="B263" s="25"/>
      <c r="C263" s="25"/>
      <c r="D263" s="26"/>
      <c r="E263" s="27"/>
      <c r="F263" s="27"/>
      <c r="G263" s="27"/>
      <c r="H263" s="27"/>
      <c r="I263" s="26"/>
      <c r="J263" s="23" t="str">
        <f aca="false">IF(A263="","",IF(AND(H263="Yes",I263&lt;&gt;""),I263-D263,""))</f>
        <v/>
      </c>
      <c r="K263" s="24" t="str">
        <f aca="false">IF(A263="","",IF(H263="Yes","Joined",IF(G263="Yes","Offer Declined",IF(F263="Yes","Rejected after Interview",IF(E263="Yes","Not Selected for Interview","Rejected at Screening")))))</f>
        <v/>
      </c>
    </row>
    <row r="264" customFormat="false" ht="15" hidden="false" customHeight="false" outlineLevel="0" collapsed="false">
      <c r="A264" s="25"/>
      <c r="B264" s="25"/>
      <c r="C264" s="25"/>
      <c r="D264" s="26"/>
      <c r="E264" s="27"/>
      <c r="F264" s="27"/>
      <c r="G264" s="27"/>
      <c r="H264" s="27"/>
      <c r="I264" s="26"/>
      <c r="J264" s="23" t="str">
        <f aca="false">IF(A264="","",IF(AND(H264="Yes",I264&lt;&gt;""),I264-D264,""))</f>
        <v/>
      </c>
      <c r="K264" s="24" t="str">
        <f aca="false">IF(A264="","",IF(H264="Yes","Joined",IF(G264="Yes","Offer Declined",IF(F264="Yes","Rejected after Interview",IF(E264="Yes","Not Selected for Interview","Rejected at Screening")))))</f>
        <v/>
      </c>
    </row>
    <row r="265" customFormat="false" ht="15" hidden="false" customHeight="false" outlineLevel="0" collapsed="false">
      <c r="A265" s="25"/>
      <c r="B265" s="25"/>
      <c r="C265" s="25"/>
      <c r="D265" s="26"/>
      <c r="E265" s="27"/>
      <c r="F265" s="27"/>
      <c r="G265" s="27"/>
      <c r="H265" s="27"/>
      <c r="I265" s="26"/>
      <c r="J265" s="23" t="str">
        <f aca="false">IF(A265="","",IF(AND(H265="Yes",I265&lt;&gt;""),I265-D265,""))</f>
        <v/>
      </c>
      <c r="K265" s="24" t="str">
        <f aca="false">IF(A265="","",IF(H265="Yes","Joined",IF(G265="Yes","Offer Declined",IF(F265="Yes","Rejected after Interview",IF(E265="Yes","Not Selected for Interview","Rejected at Screening")))))</f>
        <v/>
      </c>
    </row>
    <row r="266" customFormat="false" ht="15" hidden="false" customHeight="false" outlineLevel="0" collapsed="false">
      <c r="A266" s="25"/>
      <c r="B266" s="25"/>
      <c r="C266" s="25"/>
      <c r="D266" s="26"/>
      <c r="E266" s="27"/>
      <c r="F266" s="27"/>
      <c r="G266" s="27"/>
      <c r="H266" s="27"/>
      <c r="I266" s="26"/>
      <c r="J266" s="23" t="str">
        <f aca="false">IF(A266="","",IF(AND(H266="Yes",I266&lt;&gt;""),I266-D266,""))</f>
        <v/>
      </c>
      <c r="K266" s="24" t="str">
        <f aca="false">IF(A266="","",IF(H266="Yes","Joined",IF(G266="Yes","Offer Declined",IF(F266="Yes","Rejected after Interview",IF(E266="Yes","Not Selected for Interview","Rejected at Screening")))))</f>
        <v/>
      </c>
    </row>
    <row r="267" customFormat="false" ht="15" hidden="false" customHeight="false" outlineLevel="0" collapsed="false">
      <c r="A267" s="25"/>
      <c r="B267" s="25"/>
      <c r="C267" s="25"/>
      <c r="D267" s="26"/>
      <c r="E267" s="27"/>
      <c r="F267" s="27"/>
      <c r="G267" s="27"/>
      <c r="H267" s="27"/>
      <c r="I267" s="26"/>
      <c r="J267" s="23" t="str">
        <f aca="false">IF(A267="","",IF(AND(H267="Yes",I267&lt;&gt;""),I267-D267,""))</f>
        <v/>
      </c>
      <c r="K267" s="24" t="str">
        <f aca="false">IF(A267="","",IF(H267="Yes","Joined",IF(G267="Yes","Offer Declined",IF(F267="Yes","Rejected after Interview",IF(E267="Yes","Not Selected for Interview","Rejected at Screening")))))</f>
        <v/>
      </c>
    </row>
    <row r="268" customFormat="false" ht="15" hidden="false" customHeight="false" outlineLevel="0" collapsed="false">
      <c r="A268" s="25"/>
      <c r="B268" s="25"/>
      <c r="C268" s="25"/>
      <c r="D268" s="26"/>
      <c r="E268" s="27"/>
      <c r="F268" s="27"/>
      <c r="G268" s="27"/>
      <c r="H268" s="27"/>
      <c r="I268" s="26"/>
      <c r="J268" s="23" t="str">
        <f aca="false">IF(A268="","",IF(AND(H268="Yes",I268&lt;&gt;""),I268-D268,""))</f>
        <v/>
      </c>
      <c r="K268" s="24" t="str">
        <f aca="false">IF(A268="","",IF(H268="Yes","Joined",IF(G268="Yes","Offer Declined",IF(F268="Yes","Rejected after Interview",IF(E268="Yes","Not Selected for Interview","Rejected at Screening")))))</f>
        <v/>
      </c>
    </row>
    <row r="269" customFormat="false" ht="15" hidden="false" customHeight="false" outlineLevel="0" collapsed="false">
      <c r="A269" s="25"/>
      <c r="B269" s="25"/>
      <c r="C269" s="25"/>
      <c r="D269" s="26"/>
      <c r="E269" s="27"/>
      <c r="F269" s="27"/>
      <c r="G269" s="27"/>
      <c r="H269" s="27"/>
      <c r="I269" s="26"/>
      <c r="J269" s="23" t="str">
        <f aca="false">IF(A269="","",IF(AND(H269="Yes",I269&lt;&gt;""),I269-D269,""))</f>
        <v/>
      </c>
      <c r="K269" s="24" t="str">
        <f aca="false">IF(A269="","",IF(H269="Yes","Joined",IF(G269="Yes","Offer Declined",IF(F269="Yes","Rejected after Interview",IF(E269="Yes","Not Selected for Interview","Rejected at Screening")))))</f>
        <v/>
      </c>
    </row>
    <row r="270" customFormat="false" ht="15" hidden="false" customHeight="false" outlineLevel="0" collapsed="false">
      <c r="A270" s="25"/>
      <c r="B270" s="25"/>
      <c r="C270" s="25"/>
      <c r="D270" s="26"/>
      <c r="E270" s="27"/>
      <c r="F270" s="27"/>
      <c r="G270" s="27"/>
      <c r="H270" s="27"/>
      <c r="I270" s="26"/>
      <c r="J270" s="23" t="str">
        <f aca="false">IF(A270="","",IF(AND(H270="Yes",I270&lt;&gt;""),I270-D270,""))</f>
        <v/>
      </c>
      <c r="K270" s="24" t="str">
        <f aca="false">IF(A270="","",IF(H270="Yes","Joined",IF(G270="Yes","Offer Declined",IF(F270="Yes","Rejected after Interview",IF(E270="Yes","Not Selected for Interview","Rejected at Screening")))))</f>
        <v/>
      </c>
    </row>
    <row r="271" customFormat="false" ht="15" hidden="false" customHeight="false" outlineLevel="0" collapsed="false">
      <c r="A271" s="25"/>
      <c r="B271" s="25"/>
      <c r="C271" s="25"/>
      <c r="D271" s="26"/>
      <c r="E271" s="27"/>
      <c r="F271" s="27"/>
      <c r="G271" s="27"/>
      <c r="H271" s="27"/>
      <c r="I271" s="26"/>
      <c r="J271" s="23" t="str">
        <f aca="false">IF(A271="","",IF(AND(H271="Yes",I271&lt;&gt;""),I271-D271,""))</f>
        <v/>
      </c>
      <c r="K271" s="24" t="str">
        <f aca="false">IF(A271="","",IF(H271="Yes","Joined",IF(G271="Yes","Offer Declined",IF(F271="Yes","Rejected after Interview",IF(E271="Yes","Not Selected for Interview","Rejected at Screening")))))</f>
        <v/>
      </c>
    </row>
    <row r="272" customFormat="false" ht="15" hidden="false" customHeight="false" outlineLevel="0" collapsed="false">
      <c r="A272" s="25"/>
      <c r="B272" s="25"/>
      <c r="C272" s="25"/>
      <c r="D272" s="26"/>
      <c r="E272" s="27"/>
      <c r="F272" s="27"/>
      <c r="G272" s="27"/>
      <c r="H272" s="27"/>
      <c r="I272" s="26"/>
      <c r="J272" s="23" t="str">
        <f aca="false">IF(A272="","",IF(AND(H272="Yes",I272&lt;&gt;""),I272-D272,""))</f>
        <v/>
      </c>
      <c r="K272" s="24" t="str">
        <f aca="false">IF(A272="","",IF(H272="Yes","Joined",IF(G272="Yes","Offer Declined",IF(F272="Yes","Rejected after Interview",IF(E272="Yes","Not Selected for Interview","Rejected at Screening")))))</f>
        <v/>
      </c>
    </row>
    <row r="273" customFormat="false" ht="15" hidden="false" customHeight="false" outlineLevel="0" collapsed="false">
      <c r="A273" s="25"/>
      <c r="B273" s="25"/>
      <c r="C273" s="25"/>
      <c r="D273" s="26"/>
      <c r="E273" s="27"/>
      <c r="F273" s="27"/>
      <c r="G273" s="27"/>
      <c r="H273" s="27"/>
      <c r="I273" s="26"/>
      <c r="J273" s="23" t="str">
        <f aca="false">IF(A273="","",IF(AND(H273="Yes",I273&lt;&gt;""),I273-D273,""))</f>
        <v/>
      </c>
      <c r="K273" s="24" t="str">
        <f aca="false">IF(A273="","",IF(H273="Yes","Joined",IF(G273="Yes","Offer Declined",IF(F273="Yes","Rejected after Interview",IF(E273="Yes","Not Selected for Interview","Rejected at Screening")))))</f>
        <v/>
      </c>
    </row>
    <row r="274" customFormat="false" ht="15" hidden="false" customHeight="false" outlineLevel="0" collapsed="false">
      <c r="A274" s="25"/>
      <c r="B274" s="25"/>
      <c r="C274" s="25"/>
      <c r="D274" s="26"/>
      <c r="E274" s="27"/>
      <c r="F274" s="27"/>
      <c r="G274" s="27"/>
      <c r="H274" s="27"/>
      <c r="I274" s="26"/>
      <c r="J274" s="23" t="str">
        <f aca="false">IF(A274="","",IF(AND(H274="Yes",I274&lt;&gt;""),I274-D274,""))</f>
        <v/>
      </c>
      <c r="K274" s="24" t="str">
        <f aca="false">IF(A274="","",IF(H274="Yes","Joined",IF(G274="Yes","Offer Declined",IF(F274="Yes","Rejected after Interview",IF(E274="Yes","Not Selected for Interview","Rejected at Screening")))))</f>
        <v/>
      </c>
    </row>
    <row r="275" customFormat="false" ht="15" hidden="false" customHeight="false" outlineLevel="0" collapsed="false">
      <c r="A275" s="25"/>
      <c r="B275" s="25"/>
      <c r="C275" s="25"/>
      <c r="D275" s="26"/>
      <c r="E275" s="27"/>
      <c r="F275" s="27"/>
      <c r="G275" s="27"/>
      <c r="H275" s="27"/>
      <c r="I275" s="26"/>
      <c r="J275" s="23" t="str">
        <f aca="false">IF(A275="","",IF(AND(H275="Yes",I275&lt;&gt;""),I275-D275,""))</f>
        <v/>
      </c>
      <c r="K275" s="24" t="str">
        <f aca="false">IF(A275="","",IF(H275="Yes","Joined",IF(G275="Yes","Offer Declined",IF(F275="Yes","Rejected after Interview",IF(E275="Yes","Not Selected for Interview","Rejected at Screening")))))</f>
        <v/>
      </c>
    </row>
    <row r="276" customFormat="false" ht="15" hidden="false" customHeight="false" outlineLevel="0" collapsed="false">
      <c r="A276" s="25"/>
      <c r="B276" s="25"/>
      <c r="C276" s="25"/>
      <c r="D276" s="26"/>
      <c r="E276" s="27"/>
      <c r="F276" s="27"/>
      <c r="G276" s="27"/>
      <c r="H276" s="27"/>
      <c r="I276" s="26"/>
      <c r="J276" s="23" t="str">
        <f aca="false">IF(A276="","",IF(AND(H276="Yes",I276&lt;&gt;""),I276-D276,""))</f>
        <v/>
      </c>
      <c r="K276" s="24" t="str">
        <f aca="false">IF(A276="","",IF(H276="Yes","Joined",IF(G276="Yes","Offer Declined",IF(F276="Yes","Rejected after Interview",IF(E276="Yes","Not Selected for Interview","Rejected at Screening")))))</f>
        <v/>
      </c>
    </row>
    <row r="277" customFormat="false" ht="15" hidden="false" customHeight="false" outlineLevel="0" collapsed="false">
      <c r="A277" s="25"/>
      <c r="B277" s="25"/>
      <c r="C277" s="25"/>
      <c r="D277" s="26"/>
      <c r="E277" s="27"/>
      <c r="F277" s="27"/>
      <c r="G277" s="27"/>
      <c r="H277" s="27"/>
      <c r="I277" s="26"/>
      <c r="J277" s="23" t="str">
        <f aca="false">IF(A277="","",IF(AND(H277="Yes",I277&lt;&gt;""),I277-D277,""))</f>
        <v/>
      </c>
      <c r="K277" s="24" t="str">
        <f aca="false">IF(A277="","",IF(H277="Yes","Joined",IF(G277="Yes","Offer Declined",IF(F277="Yes","Rejected after Interview",IF(E277="Yes","Not Selected for Interview","Rejected at Screening")))))</f>
        <v/>
      </c>
    </row>
    <row r="278" customFormat="false" ht="15" hidden="false" customHeight="false" outlineLevel="0" collapsed="false">
      <c r="A278" s="25"/>
      <c r="B278" s="25"/>
      <c r="C278" s="25"/>
      <c r="D278" s="26"/>
      <c r="E278" s="27"/>
      <c r="F278" s="27"/>
      <c r="G278" s="27"/>
      <c r="H278" s="27"/>
      <c r="I278" s="26"/>
      <c r="J278" s="23" t="str">
        <f aca="false">IF(A278="","",IF(AND(H278="Yes",I278&lt;&gt;""),I278-D278,""))</f>
        <v/>
      </c>
      <c r="K278" s="24" t="str">
        <f aca="false">IF(A278="","",IF(H278="Yes","Joined",IF(G278="Yes","Offer Declined",IF(F278="Yes","Rejected after Interview",IF(E278="Yes","Not Selected for Interview","Rejected at Screening")))))</f>
        <v/>
      </c>
    </row>
    <row r="279" customFormat="false" ht="15" hidden="false" customHeight="false" outlineLevel="0" collapsed="false">
      <c r="A279" s="25"/>
      <c r="B279" s="25"/>
      <c r="C279" s="25"/>
      <c r="D279" s="26"/>
      <c r="E279" s="27"/>
      <c r="F279" s="27"/>
      <c r="G279" s="27"/>
      <c r="H279" s="27"/>
      <c r="I279" s="26"/>
      <c r="J279" s="23" t="str">
        <f aca="false">IF(A279="","",IF(AND(H279="Yes",I279&lt;&gt;""),I279-D279,""))</f>
        <v/>
      </c>
      <c r="K279" s="24" t="str">
        <f aca="false">IF(A279="","",IF(H279="Yes","Joined",IF(G279="Yes","Offer Declined",IF(F279="Yes","Rejected after Interview",IF(E279="Yes","Not Selected for Interview","Rejected at Screening")))))</f>
        <v/>
      </c>
    </row>
    <row r="280" customFormat="false" ht="15" hidden="false" customHeight="false" outlineLevel="0" collapsed="false">
      <c r="A280" s="25"/>
      <c r="B280" s="25"/>
      <c r="C280" s="25"/>
      <c r="D280" s="26"/>
      <c r="E280" s="27"/>
      <c r="F280" s="27"/>
      <c r="G280" s="27"/>
      <c r="H280" s="27"/>
      <c r="I280" s="26"/>
      <c r="J280" s="23" t="str">
        <f aca="false">IF(A280="","",IF(AND(H280="Yes",I280&lt;&gt;""),I280-D280,""))</f>
        <v/>
      </c>
      <c r="K280" s="24" t="str">
        <f aca="false">IF(A280="","",IF(H280="Yes","Joined",IF(G280="Yes","Offer Declined",IF(F280="Yes","Rejected after Interview",IF(E280="Yes","Not Selected for Interview","Rejected at Screening")))))</f>
        <v/>
      </c>
    </row>
    <row r="281" customFormat="false" ht="15" hidden="false" customHeight="false" outlineLevel="0" collapsed="false">
      <c r="A281" s="25"/>
      <c r="B281" s="25"/>
      <c r="C281" s="25"/>
      <c r="D281" s="26"/>
      <c r="E281" s="27"/>
      <c r="F281" s="27"/>
      <c r="G281" s="27"/>
      <c r="H281" s="27"/>
      <c r="I281" s="26"/>
      <c r="J281" s="23" t="str">
        <f aca="false">IF(A281="","",IF(AND(H281="Yes",I281&lt;&gt;""),I281-D281,""))</f>
        <v/>
      </c>
      <c r="K281" s="24" t="str">
        <f aca="false">IF(A281="","",IF(H281="Yes","Joined",IF(G281="Yes","Offer Declined",IF(F281="Yes","Rejected after Interview",IF(E281="Yes","Not Selected for Interview","Rejected at Screening")))))</f>
        <v/>
      </c>
    </row>
    <row r="282" customFormat="false" ht="15" hidden="false" customHeight="false" outlineLevel="0" collapsed="false">
      <c r="A282" s="25"/>
      <c r="B282" s="25"/>
      <c r="C282" s="25"/>
      <c r="D282" s="26"/>
      <c r="E282" s="27"/>
      <c r="F282" s="27"/>
      <c r="G282" s="27"/>
      <c r="H282" s="27"/>
      <c r="I282" s="26"/>
      <c r="J282" s="23" t="str">
        <f aca="false">IF(A282="","",IF(AND(H282="Yes",I282&lt;&gt;""),I282-D282,""))</f>
        <v/>
      </c>
      <c r="K282" s="24" t="str">
        <f aca="false">IF(A282="","",IF(H282="Yes","Joined",IF(G282="Yes","Offer Declined",IF(F282="Yes","Rejected after Interview",IF(E282="Yes","Not Selected for Interview","Rejected at Screening")))))</f>
        <v/>
      </c>
    </row>
    <row r="283" customFormat="false" ht="15" hidden="false" customHeight="false" outlineLevel="0" collapsed="false">
      <c r="A283" s="25"/>
      <c r="B283" s="25"/>
      <c r="C283" s="25"/>
      <c r="D283" s="26"/>
      <c r="E283" s="27"/>
      <c r="F283" s="27"/>
      <c r="G283" s="27"/>
      <c r="H283" s="27"/>
      <c r="I283" s="26"/>
      <c r="J283" s="23" t="str">
        <f aca="false">IF(A283="","",IF(AND(H283="Yes",I283&lt;&gt;""),I283-D283,""))</f>
        <v/>
      </c>
      <c r="K283" s="24" t="str">
        <f aca="false">IF(A283="","",IF(H283="Yes","Joined",IF(G283="Yes","Offer Declined",IF(F283="Yes","Rejected after Interview",IF(E283="Yes","Not Selected for Interview","Rejected at Screening")))))</f>
        <v/>
      </c>
    </row>
    <row r="284" customFormat="false" ht="15" hidden="false" customHeight="false" outlineLevel="0" collapsed="false">
      <c r="A284" s="25"/>
      <c r="B284" s="25"/>
      <c r="C284" s="25"/>
      <c r="D284" s="26"/>
      <c r="E284" s="27"/>
      <c r="F284" s="27"/>
      <c r="G284" s="27"/>
      <c r="H284" s="27"/>
      <c r="I284" s="26"/>
      <c r="J284" s="23" t="str">
        <f aca="false">IF(A284="","",IF(AND(H284="Yes",I284&lt;&gt;""),I284-D284,""))</f>
        <v/>
      </c>
      <c r="K284" s="24" t="str">
        <f aca="false">IF(A284="","",IF(H284="Yes","Joined",IF(G284="Yes","Offer Declined",IF(F284="Yes","Rejected after Interview",IF(E284="Yes","Not Selected for Interview","Rejected at Screening")))))</f>
        <v/>
      </c>
    </row>
    <row r="285" customFormat="false" ht="15" hidden="false" customHeight="false" outlineLevel="0" collapsed="false">
      <c r="A285" s="25"/>
      <c r="B285" s="25"/>
      <c r="C285" s="25"/>
      <c r="D285" s="26"/>
      <c r="E285" s="27"/>
      <c r="F285" s="27"/>
      <c r="G285" s="27"/>
      <c r="H285" s="27"/>
      <c r="I285" s="26"/>
      <c r="J285" s="23" t="str">
        <f aca="false">IF(A285="","",IF(AND(H285="Yes",I285&lt;&gt;""),I285-D285,""))</f>
        <v/>
      </c>
      <c r="K285" s="24" t="str">
        <f aca="false">IF(A285="","",IF(H285="Yes","Joined",IF(G285="Yes","Offer Declined",IF(F285="Yes","Rejected after Interview",IF(E285="Yes","Not Selected for Interview","Rejected at Screening")))))</f>
        <v/>
      </c>
    </row>
    <row r="286" customFormat="false" ht="15" hidden="false" customHeight="false" outlineLevel="0" collapsed="false">
      <c r="A286" s="25"/>
      <c r="B286" s="25"/>
      <c r="C286" s="25"/>
      <c r="D286" s="26"/>
      <c r="E286" s="27"/>
      <c r="F286" s="27"/>
      <c r="G286" s="27"/>
      <c r="H286" s="27"/>
      <c r="I286" s="26"/>
      <c r="J286" s="23" t="str">
        <f aca="false">IF(A286="","",IF(AND(H286="Yes",I286&lt;&gt;""),I286-D286,""))</f>
        <v/>
      </c>
      <c r="K286" s="24" t="str">
        <f aca="false">IF(A286="","",IF(H286="Yes","Joined",IF(G286="Yes","Offer Declined",IF(F286="Yes","Rejected after Interview",IF(E286="Yes","Not Selected for Interview","Rejected at Screening")))))</f>
        <v/>
      </c>
    </row>
    <row r="287" customFormat="false" ht="15" hidden="false" customHeight="false" outlineLevel="0" collapsed="false">
      <c r="A287" s="25"/>
      <c r="B287" s="25"/>
      <c r="C287" s="25"/>
      <c r="D287" s="26"/>
      <c r="E287" s="27"/>
      <c r="F287" s="27"/>
      <c r="G287" s="27"/>
      <c r="H287" s="27"/>
      <c r="I287" s="26"/>
      <c r="J287" s="23" t="str">
        <f aca="false">IF(A287="","",IF(AND(H287="Yes",I287&lt;&gt;""),I287-D287,""))</f>
        <v/>
      </c>
      <c r="K287" s="24" t="str">
        <f aca="false">IF(A287="","",IF(H287="Yes","Joined",IF(G287="Yes","Offer Declined",IF(F287="Yes","Rejected after Interview",IF(E287="Yes","Not Selected for Interview","Rejected at Screening")))))</f>
        <v/>
      </c>
    </row>
    <row r="288" customFormat="false" ht="15" hidden="false" customHeight="false" outlineLevel="0" collapsed="false">
      <c r="A288" s="25"/>
      <c r="B288" s="25"/>
      <c r="C288" s="25"/>
      <c r="D288" s="26"/>
      <c r="E288" s="27"/>
      <c r="F288" s="27"/>
      <c r="G288" s="27"/>
      <c r="H288" s="27"/>
      <c r="I288" s="26"/>
      <c r="J288" s="23" t="str">
        <f aca="false">IF(A288="","",IF(AND(H288="Yes",I288&lt;&gt;""),I288-D288,""))</f>
        <v/>
      </c>
      <c r="K288" s="24" t="str">
        <f aca="false">IF(A288="","",IF(H288="Yes","Joined",IF(G288="Yes","Offer Declined",IF(F288="Yes","Rejected after Interview",IF(E288="Yes","Not Selected for Interview","Rejected at Screening")))))</f>
        <v/>
      </c>
    </row>
    <row r="289" customFormat="false" ht="15" hidden="false" customHeight="false" outlineLevel="0" collapsed="false">
      <c r="A289" s="25"/>
      <c r="B289" s="25"/>
      <c r="C289" s="25"/>
      <c r="D289" s="26"/>
      <c r="E289" s="27"/>
      <c r="F289" s="27"/>
      <c r="G289" s="27"/>
      <c r="H289" s="27"/>
      <c r="I289" s="26"/>
      <c r="J289" s="23" t="str">
        <f aca="false">IF(A289="","",IF(AND(H289="Yes",I289&lt;&gt;""),I289-D289,""))</f>
        <v/>
      </c>
      <c r="K289" s="24" t="str">
        <f aca="false">IF(A289="","",IF(H289="Yes","Joined",IF(G289="Yes","Offer Declined",IF(F289="Yes","Rejected after Interview",IF(E289="Yes","Not Selected for Interview","Rejected at Screening")))))</f>
        <v/>
      </c>
    </row>
    <row r="290" customFormat="false" ht="15" hidden="false" customHeight="false" outlineLevel="0" collapsed="false">
      <c r="A290" s="25"/>
      <c r="B290" s="25"/>
      <c r="C290" s="25"/>
      <c r="D290" s="26"/>
      <c r="E290" s="27"/>
      <c r="F290" s="27"/>
      <c r="G290" s="27"/>
      <c r="H290" s="27"/>
      <c r="I290" s="26"/>
      <c r="J290" s="23" t="str">
        <f aca="false">IF(A290="","",IF(AND(H290="Yes",I290&lt;&gt;""),I290-D290,""))</f>
        <v/>
      </c>
      <c r="K290" s="24" t="str">
        <f aca="false">IF(A290="","",IF(H290="Yes","Joined",IF(G290="Yes","Offer Declined",IF(F290="Yes","Rejected after Interview",IF(E290="Yes","Not Selected for Interview","Rejected at Screening")))))</f>
        <v/>
      </c>
    </row>
    <row r="291" customFormat="false" ht="15" hidden="false" customHeight="false" outlineLevel="0" collapsed="false">
      <c r="A291" s="25"/>
      <c r="B291" s="25"/>
      <c r="C291" s="25"/>
      <c r="D291" s="26"/>
      <c r="E291" s="27"/>
      <c r="F291" s="27"/>
      <c r="G291" s="27"/>
      <c r="H291" s="27"/>
      <c r="I291" s="26"/>
      <c r="J291" s="23" t="str">
        <f aca="false">IF(A291="","",IF(AND(H291="Yes",I291&lt;&gt;""),I291-D291,""))</f>
        <v/>
      </c>
      <c r="K291" s="24" t="str">
        <f aca="false">IF(A291="","",IF(H291="Yes","Joined",IF(G291="Yes","Offer Declined",IF(F291="Yes","Rejected after Interview",IF(E291="Yes","Not Selected for Interview","Rejected at Screening")))))</f>
        <v/>
      </c>
    </row>
    <row r="292" customFormat="false" ht="15" hidden="false" customHeight="false" outlineLevel="0" collapsed="false">
      <c r="A292" s="25"/>
      <c r="B292" s="25"/>
      <c r="C292" s="25"/>
      <c r="D292" s="26"/>
      <c r="E292" s="27"/>
      <c r="F292" s="27"/>
      <c r="G292" s="27"/>
      <c r="H292" s="27"/>
      <c r="I292" s="26"/>
      <c r="J292" s="23" t="str">
        <f aca="false">IF(A292="","",IF(AND(H292="Yes",I292&lt;&gt;""),I292-D292,""))</f>
        <v/>
      </c>
      <c r="K292" s="24" t="str">
        <f aca="false">IF(A292="","",IF(H292="Yes","Joined",IF(G292="Yes","Offer Declined",IF(F292="Yes","Rejected after Interview",IF(E292="Yes","Not Selected for Interview","Rejected at Screening")))))</f>
        <v/>
      </c>
    </row>
    <row r="293" customFormat="false" ht="15" hidden="false" customHeight="false" outlineLevel="0" collapsed="false">
      <c r="A293" s="25"/>
      <c r="B293" s="25"/>
      <c r="C293" s="25"/>
      <c r="D293" s="26"/>
      <c r="E293" s="27"/>
      <c r="F293" s="27"/>
      <c r="G293" s="27"/>
      <c r="H293" s="27"/>
      <c r="I293" s="26"/>
      <c r="J293" s="23" t="str">
        <f aca="false">IF(A293="","",IF(AND(H293="Yes",I293&lt;&gt;""),I293-D293,""))</f>
        <v/>
      </c>
      <c r="K293" s="24" t="str">
        <f aca="false">IF(A293="","",IF(H293="Yes","Joined",IF(G293="Yes","Offer Declined",IF(F293="Yes","Rejected after Interview",IF(E293="Yes","Not Selected for Interview","Rejected at Screening")))))</f>
        <v/>
      </c>
    </row>
    <row r="294" customFormat="false" ht="15" hidden="false" customHeight="false" outlineLevel="0" collapsed="false">
      <c r="A294" s="25"/>
      <c r="B294" s="25"/>
      <c r="C294" s="25"/>
      <c r="D294" s="26"/>
      <c r="E294" s="27"/>
      <c r="F294" s="27"/>
      <c r="G294" s="27"/>
      <c r="H294" s="27"/>
      <c r="I294" s="26"/>
      <c r="J294" s="23" t="str">
        <f aca="false">IF(A294="","",IF(AND(H294="Yes",I294&lt;&gt;""),I294-D294,""))</f>
        <v/>
      </c>
      <c r="K294" s="24" t="str">
        <f aca="false">IF(A294="","",IF(H294="Yes","Joined",IF(G294="Yes","Offer Declined",IF(F294="Yes","Rejected after Interview",IF(E294="Yes","Not Selected for Interview","Rejected at Screening")))))</f>
        <v/>
      </c>
    </row>
    <row r="295" customFormat="false" ht="15" hidden="false" customHeight="false" outlineLevel="0" collapsed="false">
      <c r="A295" s="25"/>
      <c r="B295" s="25"/>
      <c r="C295" s="25"/>
      <c r="D295" s="26"/>
      <c r="E295" s="27"/>
      <c r="F295" s="27"/>
      <c r="G295" s="27"/>
      <c r="H295" s="27"/>
      <c r="I295" s="26"/>
      <c r="J295" s="23" t="str">
        <f aca="false">IF(A295="","",IF(AND(H295="Yes",I295&lt;&gt;""),I295-D295,""))</f>
        <v/>
      </c>
      <c r="K295" s="24" t="str">
        <f aca="false">IF(A295="","",IF(H295="Yes","Joined",IF(G295="Yes","Offer Declined",IF(F295="Yes","Rejected after Interview",IF(E295="Yes","Not Selected for Interview","Rejected at Screening")))))</f>
        <v/>
      </c>
    </row>
    <row r="296" customFormat="false" ht="15" hidden="false" customHeight="false" outlineLevel="0" collapsed="false">
      <c r="A296" s="25"/>
      <c r="B296" s="25"/>
      <c r="C296" s="25"/>
      <c r="D296" s="26"/>
      <c r="E296" s="27"/>
      <c r="F296" s="27"/>
      <c r="G296" s="27"/>
      <c r="H296" s="27"/>
      <c r="I296" s="26"/>
      <c r="J296" s="23" t="str">
        <f aca="false">IF(A296="","",IF(AND(H296="Yes",I296&lt;&gt;""),I296-D296,""))</f>
        <v/>
      </c>
      <c r="K296" s="24" t="str">
        <f aca="false">IF(A296="","",IF(H296="Yes","Joined",IF(G296="Yes","Offer Declined",IF(F296="Yes","Rejected after Interview",IF(E296="Yes","Not Selected for Interview","Rejected at Screening")))))</f>
        <v/>
      </c>
    </row>
    <row r="297" customFormat="false" ht="15" hidden="false" customHeight="false" outlineLevel="0" collapsed="false">
      <c r="A297" s="25"/>
      <c r="B297" s="25"/>
      <c r="C297" s="25"/>
      <c r="D297" s="26"/>
      <c r="E297" s="27"/>
      <c r="F297" s="27"/>
      <c r="G297" s="27"/>
      <c r="H297" s="27"/>
      <c r="I297" s="26"/>
      <c r="J297" s="23" t="str">
        <f aca="false">IF(A297="","",IF(AND(H297="Yes",I297&lt;&gt;""),I297-D297,""))</f>
        <v/>
      </c>
      <c r="K297" s="24" t="str">
        <f aca="false">IF(A297="","",IF(H297="Yes","Joined",IF(G297="Yes","Offer Declined",IF(F297="Yes","Rejected after Interview",IF(E297="Yes","Not Selected for Interview","Rejected at Screening")))))</f>
        <v/>
      </c>
    </row>
    <row r="298" customFormat="false" ht="15" hidden="false" customHeight="false" outlineLevel="0" collapsed="false">
      <c r="A298" s="25"/>
      <c r="B298" s="25"/>
      <c r="C298" s="25"/>
      <c r="D298" s="26"/>
      <c r="E298" s="27"/>
      <c r="F298" s="27"/>
      <c r="G298" s="27"/>
      <c r="H298" s="27"/>
      <c r="I298" s="26"/>
      <c r="J298" s="23" t="str">
        <f aca="false">IF(A298="","",IF(AND(H298="Yes",I298&lt;&gt;""),I298-D298,""))</f>
        <v/>
      </c>
      <c r="K298" s="24" t="str">
        <f aca="false">IF(A298="","",IF(H298="Yes","Joined",IF(G298="Yes","Offer Declined",IF(F298="Yes","Rejected after Interview",IF(E298="Yes","Not Selected for Interview","Rejected at Screening")))))</f>
        <v/>
      </c>
    </row>
    <row r="299" customFormat="false" ht="15" hidden="false" customHeight="false" outlineLevel="0" collapsed="false">
      <c r="A299" s="25"/>
      <c r="B299" s="25"/>
      <c r="C299" s="25"/>
      <c r="D299" s="26"/>
      <c r="E299" s="27"/>
      <c r="F299" s="27"/>
      <c r="G299" s="27"/>
      <c r="H299" s="27"/>
      <c r="I299" s="26"/>
      <c r="J299" s="23" t="str">
        <f aca="false">IF(A299="","",IF(AND(H299="Yes",I299&lt;&gt;""),I299-D299,""))</f>
        <v/>
      </c>
      <c r="K299" s="24" t="str">
        <f aca="false">IF(A299="","",IF(H299="Yes","Joined",IF(G299="Yes","Offer Declined",IF(F299="Yes","Rejected after Interview",IF(E299="Yes","Not Selected for Interview","Rejected at Screening")))))</f>
        <v/>
      </c>
    </row>
    <row r="300" customFormat="false" ht="15" hidden="false" customHeight="false" outlineLevel="0" collapsed="false">
      <c r="A300" s="25"/>
      <c r="B300" s="25"/>
      <c r="C300" s="25"/>
      <c r="D300" s="26"/>
      <c r="E300" s="27"/>
      <c r="F300" s="27"/>
      <c r="G300" s="27"/>
      <c r="H300" s="27"/>
      <c r="I300" s="26"/>
      <c r="J300" s="23" t="str">
        <f aca="false">IF(A300="","",IF(AND(H300="Yes",I300&lt;&gt;""),I300-D300,""))</f>
        <v/>
      </c>
      <c r="K300" s="24" t="str">
        <f aca="false">IF(A300="","",IF(H300="Yes","Joined",IF(G300="Yes","Offer Declined",IF(F300="Yes","Rejected after Interview",IF(E300="Yes","Not Selected for Interview","Rejected at Screening")))))</f>
        <v/>
      </c>
    </row>
  </sheetData>
  <autoFilter ref="A1:K300"/>
  <dataValidations count="3">
    <dataValidation allowBlank="true" errorStyle="stop" operator="between" showDropDown="false" showErrorMessage="false" showInputMessage="false" sqref="E2:H300" type="list">
      <formula1>"Yes,No"</formula1>
      <formula2>0</formula2>
    </dataValidation>
    <dataValidation allowBlank="true" errorStyle="stop" operator="between" showDropDown="false" showErrorMessage="false" showInputMessage="false" sqref="B2:B300" type="list">
      <formula1>"Sales Executive,HR Executive,Customer Support Executive,Digital Marketing Executive"</formula1>
      <formula2>0</formula2>
    </dataValidation>
    <dataValidation allowBlank="true" errorStyle="stop" operator="between" showDropDown="false" showErrorMessage="false" showInputMessage="false" sqref="C2:C300" type="list">
      <formula1>"LinkedIn,Naukri,Indeed,Employee Referral,Campus"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28" t="s">
        <v>144</v>
      </c>
    </row>
    <row r="2" customFormat="false" ht="15" hidden="false" customHeight="false" outlineLevel="0" collapsed="false">
      <c r="A2" s="29"/>
    </row>
    <row r="3" customFormat="false" ht="15" hidden="false" customHeight="false" outlineLevel="0" collapsed="false">
      <c r="A3" s="30" t="s">
        <v>145</v>
      </c>
    </row>
    <row r="4" customFormat="false" ht="23.85" hidden="false" customHeight="false" outlineLevel="0" collapsed="false">
      <c r="A4" s="29" t="s">
        <v>146</v>
      </c>
    </row>
    <row r="5" customFormat="false" ht="15" hidden="false" customHeight="false" outlineLevel="0" collapsed="false">
      <c r="A5" s="29"/>
    </row>
    <row r="6" customFormat="false" ht="15" hidden="false" customHeight="false" outlineLevel="0" collapsed="false">
      <c r="A6" s="30" t="s">
        <v>147</v>
      </c>
    </row>
    <row r="7" customFormat="false" ht="15" hidden="false" customHeight="false" outlineLevel="0" collapsed="false">
      <c r="A7" s="29" t="s">
        <v>148</v>
      </c>
    </row>
    <row r="8" customFormat="false" ht="15" hidden="false" customHeight="false" outlineLevel="0" collapsed="false">
      <c r="A8" s="29" t="s">
        <v>149</v>
      </c>
    </row>
    <row r="9" customFormat="false" ht="15" hidden="false" customHeight="false" outlineLevel="0" collapsed="false">
      <c r="A9" s="29"/>
    </row>
    <row r="10" customFormat="false" ht="15" hidden="false" customHeight="false" outlineLevel="0" collapsed="false">
      <c r="A10" s="30" t="s">
        <v>150</v>
      </c>
    </row>
    <row r="11" customFormat="false" ht="15" hidden="false" customHeight="false" outlineLevel="0" collapsed="false">
      <c r="A11" s="31" t="s">
        <v>151</v>
      </c>
    </row>
    <row r="12" customFormat="false" ht="15" hidden="false" customHeight="false" outlineLevel="0" collapsed="false">
      <c r="A12" s="29" t="s">
        <v>152</v>
      </c>
    </row>
    <row r="13" customFormat="false" ht="15" hidden="false" customHeight="false" outlineLevel="0" collapsed="false">
      <c r="A13" s="29"/>
    </row>
    <row r="14" customFormat="false" ht="15" hidden="false" customHeight="false" outlineLevel="0" collapsed="false">
      <c r="A14" s="30" t="s">
        <v>153</v>
      </c>
    </row>
    <row r="15" customFormat="false" ht="15" hidden="false" customHeight="false" outlineLevel="0" collapsed="false">
      <c r="A15" s="29" t="s">
        <v>154</v>
      </c>
    </row>
    <row r="16" customFormat="false" ht="23.85" hidden="false" customHeight="false" outlineLevel="0" collapsed="false">
      <c r="A16" s="29" t="s">
        <v>155</v>
      </c>
    </row>
    <row r="17" customFormat="false" ht="15" hidden="false" customHeight="false" outlineLevel="0" collapsed="false">
      <c r="A17" s="29" t="s">
        <v>156</v>
      </c>
    </row>
    <row r="18" customFormat="false" ht="23.85" hidden="false" customHeight="false" outlineLevel="0" collapsed="false">
      <c r="A18" s="29" t="s">
        <v>157</v>
      </c>
    </row>
    <row r="19" customFormat="false" ht="15" hidden="false" customHeight="false" outlineLevel="0" collapsed="false">
      <c r="A19" s="29"/>
    </row>
    <row r="20" customFormat="false" ht="15" hidden="false" customHeight="false" outlineLevel="0" collapsed="false">
      <c r="A20" s="30" t="s">
        <v>158</v>
      </c>
    </row>
    <row r="21" customFormat="false" ht="15" hidden="false" customHeight="false" outlineLevel="0" collapsed="false">
      <c r="A21" s="29" t="s">
        <v>159</v>
      </c>
    </row>
    <row r="22" customFormat="false" ht="15" hidden="false" customHeight="false" outlineLevel="0" collapsed="false">
      <c r="A22" s="29" t="s">
        <v>160</v>
      </c>
    </row>
    <row r="23" customFormat="false" ht="15" hidden="false" customHeight="false" outlineLevel="0" collapsed="false">
      <c r="A23" s="29" t="s">
        <v>161</v>
      </c>
    </row>
    <row r="24" customFormat="false" ht="15" hidden="false" customHeight="false" outlineLevel="0" collapsed="false">
      <c r="A24" s="29"/>
    </row>
    <row r="25" customFormat="false" ht="15" hidden="false" customHeight="false" outlineLevel="0" collapsed="false">
      <c r="A25" s="30" t="s">
        <v>162</v>
      </c>
    </row>
    <row r="26" customFormat="false" ht="15" hidden="false" customHeight="false" outlineLevel="0" collapsed="false">
      <c r="A26" s="29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2026-10-12T02:51:40Z</dcterms:created>
  <dc:creator>openpyxl</dc:creator>
  <dc:description/>
  <dc:language>en-US</dc:language>
  <cp:lastModifiedBy/>
  <dcterms:modified xsi:type="dcterms:W3CDTF">2026-10-12T02:51:42Z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